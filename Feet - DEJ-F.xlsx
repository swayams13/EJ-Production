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PESERVER\Design\OLD DESIGN 10-11\AI Developlment Swayam Singh\Master files\"/>
    </mc:Choice>
  </mc:AlternateContent>
  <xr:revisionPtr revIDLastSave="0" documentId="8_{3C281CC5-2BB1-48DE-9E17-670FD94000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1" l="1"/>
  <c r="O4" i="1"/>
  <c r="Q4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" i="1"/>
  <c r="O40" i="1" l="1"/>
  <c r="G40" i="1"/>
  <c r="H40" i="1" s="1"/>
  <c r="D40" i="1"/>
  <c r="O39" i="1"/>
  <c r="G39" i="1"/>
  <c r="K39" i="1" s="1"/>
  <c r="D39" i="1"/>
  <c r="O38" i="1"/>
  <c r="G38" i="1"/>
  <c r="K38" i="1" s="1"/>
  <c r="D38" i="1"/>
  <c r="O37" i="1"/>
  <c r="G37" i="1"/>
  <c r="K37" i="1" s="1"/>
  <c r="D37" i="1"/>
  <c r="O36" i="1"/>
  <c r="G36" i="1"/>
  <c r="K36" i="1" s="1"/>
  <c r="D36" i="1"/>
  <c r="O35" i="1"/>
  <c r="G35" i="1"/>
  <c r="K35" i="1" s="1"/>
  <c r="D35" i="1"/>
  <c r="O34" i="1"/>
  <c r="G34" i="1"/>
  <c r="K34" i="1" s="1"/>
  <c r="D34" i="1"/>
  <c r="O33" i="1"/>
  <c r="G33" i="1"/>
  <c r="K33" i="1" s="1"/>
  <c r="D33" i="1"/>
  <c r="O32" i="1"/>
  <c r="G32" i="1"/>
  <c r="K32" i="1" s="1"/>
  <c r="D32" i="1"/>
  <c r="O31" i="1"/>
  <c r="G31" i="1"/>
  <c r="K31" i="1" s="1"/>
  <c r="D31" i="1"/>
  <c r="O30" i="1"/>
  <c r="G30" i="1"/>
  <c r="K30" i="1" s="1"/>
  <c r="D30" i="1"/>
  <c r="O29" i="1"/>
  <c r="G29" i="1"/>
  <c r="H29" i="1" s="1"/>
  <c r="D29" i="1"/>
  <c r="O28" i="1"/>
  <c r="G28" i="1"/>
  <c r="K28" i="1" s="1"/>
  <c r="D28" i="1"/>
  <c r="O27" i="1"/>
  <c r="G27" i="1"/>
  <c r="H27" i="1" s="1"/>
  <c r="D27" i="1"/>
  <c r="O26" i="1"/>
  <c r="G26" i="1"/>
  <c r="K26" i="1" s="1"/>
  <c r="D26" i="1"/>
  <c r="L30" i="1" l="1"/>
  <c r="L36" i="1"/>
  <c r="H28" i="1"/>
  <c r="K29" i="1"/>
  <c r="H30" i="1"/>
  <c r="L31" i="1"/>
  <c r="S31" i="1" s="1"/>
  <c r="W31" i="1" s="1"/>
  <c r="L35" i="1"/>
  <c r="S35" i="1" s="1"/>
  <c r="W35" i="1" s="1"/>
  <c r="L39" i="1"/>
  <c r="Q39" i="1" s="1"/>
  <c r="L32" i="1"/>
  <c r="L26" i="1"/>
  <c r="S26" i="1" s="1"/>
  <c r="W26" i="1" s="1"/>
  <c r="L34" i="1"/>
  <c r="S34" i="1" s="1"/>
  <c r="W34" i="1" s="1"/>
  <c r="L38" i="1"/>
  <c r="S38" i="1" s="1"/>
  <c r="W38" i="1" s="1"/>
  <c r="L28" i="1"/>
  <c r="S28" i="1" s="1"/>
  <c r="W28" i="1" s="1"/>
  <c r="L33" i="1"/>
  <c r="S33" i="1" s="1"/>
  <c r="W33" i="1" s="1"/>
  <c r="L37" i="1"/>
  <c r="S37" i="1" s="1"/>
  <c r="W37" i="1" s="1"/>
  <c r="S39" i="1"/>
  <c r="W39" i="1" s="1"/>
  <c r="K27" i="1"/>
  <c r="Q34" i="1"/>
  <c r="K40" i="1"/>
  <c r="S32" i="1"/>
  <c r="W32" i="1" s="1"/>
  <c r="S36" i="1"/>
  <c r="W36" i="1" s="1"/>
  <c r="S30" i="1"/>
  <c r="W30" i="1" s="1"/>
  <c r="H31" i="1"/>
  <c r="H32" i="1"/>
  <c r="H33" i="1"/>
  <c r="H34" i="1"/>
  <c r="H35" i="1"/>
  <c r="H36" i="1"/>
  <c r="H37" i="1"/>
  <c r="H38" i="1"/>
  <c r="H39" i="1"/>
  <c r="Q37" i="1"/>
  <c r="Q30" i="1"/>
  <c r="Q28" i="1"/>
  <c r="H26" i="1"/>
  <c r="G4" i="1"/>
  <c r="K4" i="1" s="1"/>
  <c r="O13" i="1"/>
  <c r="O12" i="1"/>
  <c r="O11" i="1"/>
  <c r="O10" i="1"/>
  <c r="O9" i="1"/>
  <c r="O8" i="1"/>
  <c r="O7" i="1"/>
  <c r="O6" i="1"/>
  <c r="O5" i="1"/>
  <c r="O15" i="1"/>
  <c r="O16" i="1"/>
  <c r="O17" i="1"/>
  <c r="O18" i="1"/>
  <c r="O19" i="1"/>
  <c r="O20" i="1"/>
  <c r="O21" i="1"/>
  <c r="O22" i="1"/>
  <c r="O23" i="1"/>
  <c r="O24" i="1"/>
  <c r="O25" i="1"/>
  <c r="G5" i="1"/>
  <c r="K5" i="1" s="1"/>
  <c r="G6" i="1"/>
  <c r="H6" i="1" s="1"/>
  <c r="G7" i="1"/>
  <c r="H7" i="1" s="1"/>
  <c r="G8" i="1"/>
  <c r="K8" i="1" s="1"/>
  <c r="G9" i="1"/>
  <c r="K9" i="1" s="1"/>
  <c r="G10" i="1"/>
  <c r="H10" i="1" s="1"/>
  <c r="G11" i="1"/>
  <c r="H11" i="1" s="1"/>
  <c r="G12" i="1"/>
  <c r="K12" i="1" s="1"/>
  <c r="G13" i="1"/>
  <c r="K13" i="1" s="1"/>
  <c r="G14" i="1"/>
  <c r="H14" i="1" s="1"/>
  <c r="G15" i="1"/>
  <c r="H15" i="1" s="1"/>
  <c r="G16" i="1"/>
  <c r="H16" i="1" s="1"/>
  <c r="G17" i="1"/>
  <c r="K17" i="1" s="1"/>
  <c r="G18" i="1"/>
  <c r="H18" i="1" s="1"/>
  <c r="G19" i="1"/>
  <c r="H19" i="1" s="1"/>
  <c r="G20" i="1"/>
  <c r="H20" i="1" s="1"/>
  <c r="G21" i="1"/>
  <c r="K21" i="1" s="1"/>
  <c r="G22" i="1"/>
  <c r="H22" i="1" s="1"/>
  <c r="G23" i="1"/>
  <c r="H23" i="1" s="1"/>
  <c r="G24" i="1"/>
  <c r="K24" i="1" s="1"/>
  <c r="G25" i="1"/>
  <c r="K25" i="1" s="1"/>
  <c r="K19" i="1" l="1"/>
  <c r="R39" i="1"/>
  <c r="V39" i="1" s="1"/>
  <c r="L4" i="1"/>
  <c r="R28" i="1"/>
  <c r="V28" i="1" s="1"/>
  <c r="R37" i="1"/>
  <c r="V37" i="1" s="1"/>
  <c r="Q33" i="1"/>
  <c r="R34" i="1"/>
  <c r="V34" i="1" s="1"/>
  <c r="H4" i="1"/>
  <c r="Q38" i="1"/>
  <c r="Q31" i="1"/>
  <c r="L29" i="1"/>
  <c r="R30" i="1"/>
  <c r="V30" i="1" s="1"/>
  <c r="K23" i="1"/>
  <c r="L40" i="1"/>
  <c r="L27" i="1"/>
  <c r="Q36" i="1"/>
  <c r="Q26" i="1"/>
  <c r="R26" i="1" s="1"/>
  <c r="V26" i="1" s="1"/>
  <c r="Q32" i="1"/>
  <c r="Q35" i="1"/>
  <c r="K22" i="1"/>
  <c r="K18" i="1"/>
  <c r="K15" i="1"/>
  <c r="K20" i="1"/>
  <c r="K16" i="1"/>
  <c r="H21" i="1"/>
  <c r="H24" i="1"/>
  <c r="H8" i="1"/>
  <c r="H13" i="1"/>
  <c r="H5" i="1"/>
  <c r="H12" i="1"/>
  <c r="H25" i="1"/>
  <c r="H17" i="1"/>
  <c r="H9" i="1"/>
  <c r="L25" i="1"/>
  <c r="L21" i="1"/>
  <c r="L17" i="1"/>
  <c r="L13" i="1"/>
  <c r="L9" i="1"/>
  <c r="L5" i="1"/>
  <c r="K7" i="1"/>
  <c r="K6" i="1"/>
  <c r="K10" i="1"/>
  <c r="K14" i="1"/>
  <c r="K11" i="1"/>
  <c r="L24" i="1"/>
  <c r="L12" i="1"/>
  <c r="L8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4" i="1"/>
  <c r="S4" i="1" s="1"/>
  <c r="W4" i="1" s="1"/>
  <c r="L16" i="1" l="1"/>
  <c r="S29" i="1"/>
  <c r="W29" i="1" s="1"/>
  <c r="Q29" i="1"/>
  <c r="Q9" i="1"/>
  <c r="S9" i="1"/>
  <c r="W9" i="1" s="1"/>
  <c r="R32" i="1"/>
  <c r="V32" i="1" s="1"/>
  <c r="S27" i="1"/>
  <c r="W27" i="1" s="1"/>
  <c r="Q27" i="1"/>
  <c r="R31" i="1"/>
  <c r="V31" i="1" s="1"/>
  <c r="L20" i="1"/>
  <c r="Q8" i="1"/>
  <c r="S8" i="1"/>
  <c r="W8" i="1" s="1"/>
  <c r="R38" i="1"/>
  <c r="V38" i="1" s="1"/>
  <c r="R33" i="1"/>
  <c r="V33" i="1" s="1"/>
  <c r="R35" i="1"/>
  <c r="V35" i="1" s="1"/>
  <c r="Q25" i="1"/>
  <c r="S25" i="1"/>
  <c r="W25" i="1" s="1"/>
  <c r="Q24" i="1"/>
  <c r="S24" i="1"/>
  <c r="W24" i="1" s="1"/>
  <c r="R36" i="1"/>
  <c r="V36" i="1" s="1"/>
  <c r="S40" i="1"/>
  <c r="W40" i="1" s="1"/>
  <c r="Q40" i="1"/>
  <c r="L23" i="1"/>
  <c r="L14" i="1"/>
  <c r="L15" i="1"/>
  <c r="L18" i="1"/>
  <c r="L19" i="1"/>
  <c r="L22" i="1"/>
  <c r="L6" i="1"/>
  <c r="L11" i="1"/>
  <c r="L10" i="1"/>
  <c r="L7" i="1"/>
  <c r="Q18" i="1" l="1"/>
  <c r="S18" i="1"/>
  <c r="W18" i="1" s="1"/>
  <c r="Q22" i="1"/>
  <c r="S22" i="1"/>
  <c r="W22" i="1" s="1"/>
  <c r="Q20" i="1"/>
  <c r="S20" i="1"/>
  <c r="W20" i="1" s="1"/>
  <c r="R24" i="1"/>
  <c r="V24" i="1" s="1"/>
  <c r="Q10" i="1"/>
  <c r="S10" i="1"/>
  <c r="W10" i="1" s="1"/>
  <c r="Q17" i="1"/>
  <c r="S17" i="1"/>
  <c r="W17" i="1" s="1"/>
  <c r="Q5" i="1"/>
  <c r="S5" i="1"/>
  <c r="W5" i="1" s="1"/>
  <c r="R9" i="1"/>
  <c r="V9" i="1" s="1"/>
  <c r="Q14" i="1"/>
  <c r="S14" i="1"/>
  <c r="W14" i="1" s="1"/>
  <c r="Q23" i="1"/>
  <c r="S23" i="1"/>
  <c r="W23" i="1" s="1"/>
  <c r="Q12" i="1"/>
  <c r="S12" i="1"/>
  <c r="W12" i="1" s="1"/>
  <c r="R29" i="1"/>
  <c r="V29" i="1" s="1"/>
  <c r="Q7" i="1"/>
  <c r="S7" i="1"/>
  <c r="W7" i="1" s="1"/>
  <c r="Q13" i="1"/>
  <c r="S13" i="1"/>
  <c r="W13" i="1" s="1"/>
  <c r="R27" i="1"/>
  <c r="V27" i="1" s="1"/>
  <c r="Q19" i="1"/>
  <c r="S19" i="1"/>
  <c r="W19" i="1" s="1"/>
  <c r="Q11" i="1"/>
  <c r="S11" i="1"/>
  <c r="W11" i="1" s="1"/>
  <c r="Q6" i="1"/>
  <c r="S6" i="1"/>
  <c r="W6" i="1" s="1"/>
  <c r="Q15" i="1"/>
  <c r="S15" i="1"/>
  <c r="W15" i="1" s="1"/>
  <c r="S16" i="1"/>
  <c r="W16" i="1" s="1"/>
  <c r="Q16" i="1"/>
  <c r="Q21" i="1"/>
  <c r="S21" i="1"/>
  <c r="W21" i="1" s="1"/>
  <c r="R40" i="1"/>
  <c r="V40" i="1" s="1"/>
  <c r="R25" i="1"/>
  <c r="V25" i="1" s="1"/>
  <c r="R8" i="1"/>
  <c r="V8" i="1" s="1"/>
  <c r="R4" i="1"/>
  <c r="V4" i="1" s="1"/>
  <c r="R23" i="1" l="1"/>
  <c r="V23" i="1" s="1"/>
  <c r="R5" i="1"/>
  <c r="V5" i="1" s="1"/>
  <c r="R17" i="1"/>
  <c r="V17" i="1" s="1"/>
  <c r="R22" i="1"/>
  <c r="V22" i="1" s="1"/>
  <c r="R21" i="1"/>
  <c r="V21" i="1" s="1"/>
  <c r="R15" i="1"/>
  <c r="V15" i="1" s="1"/>
  <c r="R11" i="1"/>
  <c r="V11" i="1" s="1"/>
  <c r="R7" i="1"/>
  <c r="V7" i="1" s="1"/>
  <c r="R16" i="1"/>
  <c r="V16" i="1" s="1"/>
  <c r="R6" i="1"/>
  <c r="V6" i="1" s="1"/>
  <c r="R19" i="1"/>
  <c r="V19" i="1" s="1"/>
  <c r="R13" i="1"/>
  <c r="V13" i="1" s="1"/>
  <c r="R12" i="1"/>
  <c r="V12" i="1" s="1"/>
  <c r="R14" i="1"/>
  <c r="V14" i="1" s="1"/>
  <c r="R10" i="1"/>
  <c r="V10" i="1" s="1"/>
  <c r="R20" i="1"/>
  <c r="V20" i="1" s="1"/>
  <c r="R18" i="1"/>
  <c r="V18" i="1" s="1"/>
</calcChain>
</file>

<file path=xl/sharedStrings.xml><?xml version="1.0" encoding="utf-8"?>
<sst xmlns="http://schemas.openxmlformats.org/spreadsheetml/2006/main" count="32" uniqueCount="23">
  <si>
    <t>Size</t>
  </si>
  <si>
    <t>Circum</t>
  </si>
  <si>
    <t>Total</t>
  </si>
  <si>
    <t>Inch/size</t>
  </si>
  <si>
    <t>Feet/Size</t>
  </si>
  <si>
    <t xml:space="preserve"> </t>
  </si>
  <si>
    <t>Pipe 1 Length</t>
  </si>
  <si>
    <t>Pipe 2 Length</t>
  </si>
  <si>
    <t>Pipe 3 Length</t>
  </si>
  <si>
    <t>Pipe 1 Thickness</t>
  </si>
  <si>
    <t>Pipe 1 OD</t>
  </si>
  <si>
    <t>Pipe 2 OD</t>
  </si>
  <si>
    <t>Pipe 2 Thickness</t>
  </si>
  <si>
    <t>Pipe 3 OD</t>
  </si>
  <si>
    <t>Pipe 3 Thickness</t>
  </si>
  <si>
    <t>Total C/s Weld</t>
  </si>
  <si>
    <t>Dismantling Joints Total welding details in Inch, Feet</t>
  </si>
  <si>
    <t>Total Longseams</t>
  </si>
  <si>
    <t>Grinding</t>
  </si>
  <si>
    <t>FOR PRODUCTION SUPERVISOR</t>
  </si>
  <si>
    <t>Bellows Total welding details in Inch, Feet. ( Standard Bellows Single with IS 1538 Flanges and 3 Limit Rods)</t>
  </si>
  <si>
    <t>MIG       (Feet)</t>
  </si>
  <si>
    <t>Drinding Sq. 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</si>
</sst>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41"/>
  <sheetViews>
    <sheetView tabSelected="1" topLeftCell="G26" zoomScale="115" zoomScaleNormal="115" workbookViewId="0">
      <selection activeCell="K17" sqref="K17"/>
    </sheetView>
  </sheetViews>
  <sheetFormatPr defaultRowHeight="15" x14ac:dyDescent="0.25"/>
  <cols>
    <col min="4" max="4" width="9.42578125" customWidth="1"/>
    <col min="5" max="5" width="11.7109375" customWidth="1"/>
    <col min="6" max="6" width="12.140625" customWidth="1"/>
    <col min="7" max="7" width="14.85546875" customWidth="1"/>
    <col min="10" max="10" width="14.85546875" customWidth="1"/>
    <col min="11" max="11" width="19.7109375" customWidth="1"/>
    <col min="13" max="13" width="12.7109375" customWidth="1"/>
    <col min="15" max="15" width="14.5703125" customWidth="1"/>
    <col min="17" max="17" width="6.85546875" customWidth="1"/>
    <col min="18" max="18" width="7.140625" customWidth="1"/>
    <col min="19" max="19" width="13.28515625" customWidth="1"/>
  </cols>
  <sheetData>
    <row r="1" spans="2:23" ht="26.25" x14ac:dyDescent="0.25">
      <c r="B1" s="16" t="s">
        <v>16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U1" s="17" t="s">
        <v>19</v>
      </c>
      <c r="V1" s="18"/>
      <c r="W1" s="18"/>
    </row>
    <row r="2" spans="2:23" ht="37.5" customHeight="1" x14ac:dyDescent="0.3">
      <c r="B2" s="5"/>
      <c r="C2" s="5"/>
      <c r="D2" s="5"/>
      <c r="E2" s="5"/>
      <c r="F2" s="5"/>
      <c r="G2" s="5"/>
      <c r="H2" s="5" t="s">
        <v>5</v>
      </c>
      <c r="I2" s="5" t="s">
        <v>5</v>
      </c>
      <c r="J2" s="13" t="s">
        <v>5</v>
      </c>
      <c r="K2" s="14"/>
      <c r="L2" s="13" t="s">
        <v>5</v>
      </c>
      <c r="M2" s="15"/>
      <c r="N2" s="14"/>
      <c r="O2" s="5" t="s">
        <v>5</v>
      </c>
      <c r="P2" s="5" t="s">
        <v>5</v>
      </c>
      <c r="Q2" s="5" t="s">
        <v>2</v>
      </c>
      <c r="R2" s="5" t="s">
        <v>2</v>
      </c>
      <c r="U2" s="17" t="s">
        <v>20</v>
      </c>
      <c r="V2" s="18"/>
      <c r="W2" s="18"/>
    </row>
    <row r="3" spans="2:23" ht="56.25" customHeight="1" x14ac:dyDescent="0.25">
      <c r="B3" s="6" t="s">
        <v>0</v>
      </c>
      <c r="C3" s="6" t="s">
        <v>10</v>
      </c>
      <c r="D3" s="4" t="s">
        <v>1</v>
      </c>
      <c r="E3" s="4" t="s">
        <v>6</v>
      </c>
      <c r="F3" s="4" t="s">
        <v>9</v>
      </c>
      <c r="G3" s="6" t="s">
        <v>11</v>
      </c>
      <c r="H3" s="4" t="s">
        <v>1</v>
      </c>
      <c r="I3" s="4" t="s">
        <v>7</v>
      </c>
      <c r="J3" s="4" t="s">
        <v>12</v>
      </c>
      <c r="K3" s="6" t="s">
        <v>13</v>
      </c>
      <c r="L3" s="4" t="s">
        <v>1</v>
      </c>
      <c r="M3" s="4" t="s">
        <v>8</v>
      </c>
      <c r="N3" s="4" t="s">
        <v>14</v>
      </c>
      <c r="O3" s="4" t="s">
        <v>17</v>
      </c>
      <c r="P3" s="4" t="s">
        <v>15</v>
      </c>
      <c r="Q3" s="4" t="s">
        <v>3</v>
      </c>
      <c r="R3" s="4" t="s">
        <v>4</v>
      </c>
      <c r="S3" s="4" t="s">
        <v>18</v>
      </c>
      <c r="U3" s="4" t="s">
        <v>0</v>
      </c>
      <c r="V3" s="9" t="s">
        <v>21</v>
      </c>
      <c r="W3" s="10" t="s">
        <v>22</v>
      </c>
    </row>
    <row r="4" spans="2:23" ht="18.75" x14ac:dyDescent="0.25">
      <c r="B4" s="1">
        <v>50</v>
      </c>
      <c r="C4" s="1">
        <v>61</v>
      </c>
      <c r="D4" s="2">
        <f>C4*3.1428571</f>
        <v>191.71428310000002</v>
      </c>
      <c r="E4" s="2">
        <v>235</v>
      </c>
      <c r="F4" s="2">
        <v>5</v>
      </c>
      <c r="G4" s="2">
        <f>C4+(2*F4)+3</f>
        <v>74</v>
      </c>
      <c r="H4" s="2">
        <f>G4*3.1428571</f>
        <v>232.57142540000001</v>
      </c>
      <c r="I4" s="2">
        <v>100</v>
      </c>
      <c r="J4" s="2">
        <v>6</v>
      </c>
      <c r="K4" s="2">
        <f>G4+(2*J4)+3</f>
        <v>89</v>
      </c>
      <c r="L4" s="2">
        <f>K4*3.1428571</f>
        <v>279.7142819</v>
      </c>
      <c r="M4" s="2">
        <v>25</v>
      </c>
      <c r="N4" s="2">
        <v>5</v>
      </c>
      <c r="O4" s="2">
        <f>+I4+M4</f>
        <v>125</v>
      </c>
      <c r="P4" s="2">
        <f t="shared" ref="P4:P39" si="0">(D4+H4+L4)*2</f>
        <v>1407.9999808000002</v>
      </c>
      <c r="Q4" s="2">
        <f>SUM(O4:P4)/25.4</f>
        <v>60.354329952755918</v>
      </c>
      <c r="R4" s="3">
        <f>Q4/12</f>
        <v>5.0295274960629932</v>
      </c>
      <c r="S4" s="8">
        <f>((P4*O4)/92416)/2</f>
        <v>0.95221605349723004</v>
      </c>
      <c r="U4" s="11">
        <f>B4</f>
        <v>50</v>
      </c>
      <c r="V4" s="7">
        <f>R4</f>
        <v>5.0295274960629932</v>
      </c>
      <c r="W4" s="7">
        <f>S4</f>
        <v>0.95221605349723004</v>
      </c>
    </row>
    <row r="5" spans="2:23" ht="18.75" x14ac:dyDescent="0.25">
      <c r="B5" s="1">
        <v>80</v>
      </c>
      <c r="C5" s="1">
        <v>89</v>
      </c>
      <c r="D5" s="2">
        <f t="shared" ref="D5:D25" si="1">C5*3.1428571</f>
        <v>279.7142819</v>
      </c>
      <c r="E5" s="2">
        <v>235</v>
      </c>
      <c r="F5" s="2">
        <v>5</v>
      </c>
      <c r="G5" s="2">
        <f t="shared" ref="G5:G25" si="2">C5+(2*F5)+3</f>
        <v>102</v>
      </c>
      <c r="H5" s="2">
        <f t="shared" ref="H5:H25" si="3">G5*3.1428571</f>
        <v>320.57142420000002</v>
      </c>
      <c r="I5" s="2">
        <v>100</v>
      </c>
      <c r="J5" s="2">
        <v>6</v>
      </c>
      <c r="K5" s="2">
        <f t="shared" ref="K5:K14" si="4">G5+(2*J5)+3</f>
        <v>117</v>
      </c>
      <c r="L5" s="2">
        <f t="shared" ref="L5:L25" si="5">K5*3.1428571</f>
        <v>367.71428070000002</v>
      </c>
      <c r="M5" s="2">
        <v>25</v>
      </c>
      <c r="N5" s="2">
        <v>5</v>
      </c>
      <c r="O5" s="2">
        <f t="shared" ref="O5:O13" si="6">+I5+M5</f>
        <v>125</v>
      </c>
      <c r="P5" s="2">
        <f t="shared" si="0"/>
        <v>1935.9999736</v>
      </c>
      <c r="Q5" s="2">
        <f t="shared" ref="Q5:Q25" si="7">SUM(O5:P5)/25.4</f>
        <v>81.141731244094487</v>
      </c>
      <c r="R5" s="3">
        <f t="shared" ref="R5:R25" si="8">Q5/12</f>
        <v>6.7618109370078736</v>
      </c>
      <c r="S5" s="8">
        <f t="shared" ref="S5:S25" si="9">((P5*O5)/92416)/2</f>
        <v>1.3092970735586911</v>
      </c>
      <c r="U5" s="11">
        <f t="shared" ref="U5:U40" si="10">B5</f>
        <v>80</v>
      </c>
      <c r="V5" s="7">
        <f t="shared" ref="V5:V40" si="11">R5</f>
        <v>6.7618109370078736</v>
      </c>
      <c r="W5" s="7">
        <f t="shared" ref="W5:W40" si="12">S5</f>
        <v>1.3092970735586911</v>
      </c>
    </row>
    <row r="6" spans="2:23" ht="18.75" x14ac:dyDescent="0.25">
      <c r="B6" s="1">
        <v>100</v>
      </c>
      <c r="C6" s="1">
        <v>114</v>
      </c>
      <c r="D6" s="2">
        <f t="shared" si="1"/>
        <v>358.28570940000003</v>
      </c>
      <c r="E6" s="2">
        <v>235</v>
      </c>
      <c r="F6" s="2">
        <v>5</v>
      </c>
      <c r="G6" s="2">
        <f t="shared" si="2"/>
        <v>127</v>
      </c>
      <c r="H6" s="2">
        <f t="shared" si="3"/>
        <v>399.14285169999999</v>
      </c>
      <c r="I6" s="2">
        <v>100</v>
      </c>
      <c r="J6" s="2">
        <v>6</v>
      </c>
      <c r="K6" s="2">
        <f t="shared" si="4"/>
        <v>142</v>
      </c>
      <c r="L6" s="2">
        <f t="shared" si="5"/>
        <v>446.28570819999999</v>
      </c>
      <c r="M6" s="2">
        <v>25</v>
      </c>
      <c r="N6" s="2">
        <v>5</v>
      </c>
      <c r="O6" s="2">
        <f t="shared" si="6"/>
        <v>125</v>
      </c>
      <c r="P6" s="2">
        <f t="shared" si="0"/>
        <v>2407.4285386000001</v>
      </c>
      <c r="Q6" s="2">
        <f t="shared" si="7"/>
        <v>99.701910968503952</v>
      </c>
      <c r="R6" s="3">
        <f t="shared" si="8"/>
        <v>8.3084925807086627</v>
      </c>
      <c r="S6" s="8">
        <f t="shared" si="9"/>
        <v>1.6281194128992815</v>
      </c>
      <c r="U6" s="11">
        <f t="shared" si="10"/>
        <v>100</v>
      </c>
      <c r="V6" s="7">
        <f t="shared" si="11"/>
        <v>8.3084925807086627</v>
      </c>
      <c r="W6" s="7">
        <f t="shared" si="12"/>
        <v>1.6281194128992815</v>
      </c>
    </row>
    <row r="7" spans="2:23" ht="18.75" x14ac:dyDescent="0.25">
      <c r="B7" s="1">
        <v>150</v>
      </c>
      <c r="C7" s="1">
        <v>169</v>
      </c>
      <c r="D7" s="2">
        <f t="shared" si="1"/>
        <v>531.14284989999999</v>
      </c>
      <c r="E7" s="2">
        <v>235</v>
      </c>
      <c r="F7" s="2">
        <v>5</v>
      </c>
      <c r="G7" s="2">
        <f t="shared" si="2"/>
        <v>182</v>
      </c>
      <c r="H7" s="2">
        <f t="shared" si="3"/>
        <v>571.99999220000007</v>
      </c>
      <c r="I7" s="2">
        <v>100</v>
      </c>
      <c r="J7" s="2">
        <v>6</v>
      </c>
      <c r="K7" s="2">
        <f t="shared" si="4"/>
        <v>197</v>
      </c>
      <c r="L7" s="2">
        <f t="shared" si="5"/>
        <v>619.14284870000006</v>
      </c>
      <c r="M7" s="2">
        <v>25</v>
      </c>
      <c r="N7" s="2">
        <v>5</v>
      </c>
      <c r="O7" s="2">
        <f t="shared" si="6"/>
        <v>125</v>
      </c>
      <c r="P7" s="2">
        <f t="shared" si="0"/>
        <v>3444.5713816000002</v>
      </c>
      <c r="Q7" s="2">
        <f t="shared" si="7"/>
        <v>140.53430636220475</v>
      </c>
      <c r="R7" s="3">
        <f t="shared" si="8"/>
        <v>11.711192196850396</v>
      </c>
      <c r="S7" s="8">
        <f t="shared" si="9"/>
        <v>2.3295285594485806</v>
      </c>
      <c r="U7" s="11">
        <f t="shared" si="10"/>
        <v>150</v>
      </c>
      <c r="V7" s="7">
        <f t="shared" si="11"/>
        <v>11.711192196850396</v>
      </c>
      <c r="W7" s="7">
        <f t="shared" si="12"/>
        <v>2.3295285594485806</v>
      </c>
    </row>
    <row r="8" spans="2:23" ht="18.75" x14ac:dyDescent="0.25">
      <c r="B8" s="1">
        <v>200</v>
      </c>
      <c r="C8" s="1">
        <v>219</v>
      </c>
      <c r="D8" s="2">
        <f t="shared" si="1"/>
        <v>688.28570490000004</v>
      </c>
      <c r="E8" s="2">
        <v>235</v>
      </c>
      <c r="F8" s="2">
        <v>5</v>
      </c>
      <c r="G8" s="2">
        <f t="shared" si="2"/>
        <v>232</v>
      </c>
      <c r="H8" s="2">
        <f t="shared" si="3"/>
        <v>729.14284720000001</v>
      </c>
      <c r="I8" s="2">
        <v>100</v>
      </c>
      <c r="J8" s="2">
        <v>6</v>
      </c>
      <c r="K8" s="2">
        <f t="shared" si="4"/>
        <v>247</v>
      </c>
      <c r="L8" s="2">
        <f t="shared" si="5"/>
        <v>776.2857037</v>
      </c>
      <c r="M8" s="2">
        <v>25</v>
      </c>
      <c r="N8" s="2">
        <v>5</v>
      </c>
      <c r="O8" s="2">
        <f t="shared" si="6"/>
        <v>125</v>
      </c>
      <c r="P8" s="2">
        <f t="shared" si="0"/>
        <v>4387.4285116000001</v>
      </c>
      <c r="Q8" s="2">
        <f t="shared" si="7"/>
        <v>177.65466581102365</v>
      </c>
      <c r="R8" s="3">
        <f t="shared" si="8"/>
        <v>14.804555484251971</v>
      </c>
      <c r="S8" s="8">
        <f t="shared" si="9"/>
        <v>2.9671732381297611</v>
      </c>
      <c r="U8" s="11">
        <f t="shared" si="10"/>
        <v>200</v>
      </c>
      <c r="V8" s="7">
        <f t="shared" si="11"/>
        <v>14.804555484251971</v>
      </c>
      <c r="W8" s="7">
        <f t="shared" si="12"/>
        <v>2.9671732381297611</v>
      </c>
    </row>
    <row r="9" spans="2:23" ht="18.75" x14ac:dyDescent="0.25">
      <c r="B9" s="1">
        <v>250</v>
      </c>
      <c r="C9" s="1">
        <v>273</v>
      </c>
      <c r="D9" s="2">
        <f t="shared" si="1"/>
        <v>857.99998830000004</v>
      </c>
      <c r="E9" s="2">
        <v>235</v>
      </c>
      <c r="F9" s="2">
        <v>5</v>
      </c>
      <c r="G9" s="2">
        <f t="shared" si="2"/>
        <v>286</v>
      </c>
      <c r="H9" s="2">
        <f t="shared" si="3"/>
        <v>898.8571306</v>
      </c>
      <c r="I9" s="2">
        <v>100</v>
      </c>
      <c r="J9" s="2">
        <v>6</v>
      </c>
      <c r="K9" s="2">
        <f t="shared" si="4"/>
        <v>301</v>
      </c>
      <c r="L9" s="2">
        <f t="shared" si="5"/>
        <v>945.9999871</v>
      </c>
      <c r="M9" s="2">
        <v>32</v>
      </c>
      <c r="N9" s="2">
        <v>5</v>
      </c>
      <c r="O9" s="2">
        <f t="shared" si="6"/>
        <v>132</v>
      </c>
      <c r="P9" s="2">
        <f t="shared" si="0"/>
        <v>5405.7142119999999</v>
      </c>
      <c r="Q9" s="2">
        <f t="shared" si="7"/>
        <v>218.02024456692914</v>
      </c>
      <c r="R9" s="3">
        <f t="shared" si="8"/>
        <v>18.168353713910761</v>
      </c>
      <c r="S9" s="8">
        <f t="shared" si="9"/>
        <v>3.8605559426073404</v>
      </c>
      <c r="U9" s="11">
        <f t="shared" si="10"/>
        <v>250</v>
      </c>
      <c r="V9" s="7">
        <f t="shared" si="11"/>
        <v>18.168353713910761</v>
      </c>
      <c r="W9" s="7">
        <f t="shared" si="12"/>
        <v>3.8605559426073404</v>
      </c>
    </row>
    <row r="10" spans="2:23" ht="18.75" x14ac:dyDescent="0.25">
      <c r="B10" s="1">
        <v>300</v>
      </c>
      <c r="C10" s="1">
        <v>324</v>
      </c>
      <c r="D10" s="2">
        <f t="shared" si="1"/>
        <v>1018.2857004</v>
      </c>
      <c r="E10" s="2">
        <v>235</v>
      </c>
      <c r="F10" s="2">
        <v>6</v>
      </c>
      <c r="G10" s="2">
        <f t="shared" si="2"/>
        <v>339</v>
      </c>
      <c r="H10" s="2">
        <f t="shared" si="3"/>
        <v>1065.4285569000001</v>
      </c>
      <c r="I10" s="2">
        <v>100</v>
      </c>
      <c r="J10" s="2">
        <v>6</v>
      </c>
      <c r="K10" s="2">
        <f t="shared" si="4"/>
        <v>354</v>
      </c>
      <c r="L10" s="2">
        <f t="shared" si="5"/>
        <v>1112.5714134</v>
      </c>
      <c r="M10" s="2">
        <v>32</v>
      </c>
      <c r="N10" s="2">
        <v>5</v>
      </c>
      <c r="O10" s="2">
        <f t="shared" si="6"/>
        <v>132</v>
      </c>
      <c r="P10" s="2">
        <f t="shared" si="0"/>
        <v>6392.5713414000002</v>
      </c>
      <c r="Q10" s="2">
        <f t="shared" si="7"/>
        <v>256.87288745669292</v>
      </c>
      <c r="R10" s="3">
        <f t="shared" si="8"/>
        <v>21.406073954724409</v>
      </c>
      <c r="S10" s="8">
        <f t="shared" si="9"/>
        <v>4.5653318530600764</v>
      </c>
      <c r="U10" s="11">
        <f t="shared" si="10"/>
        <v>300</v>
      </c>
      <c r="V10" s="7">
        <f t="shared" si="11"/>
        <v>21.406073954724409</v>
      </c>
      <c r="W10" s="7">
        <f t="shared" si="12"/>
        <v>4.5653318530600764</v>
      </c>
    </row>
    <row r="11" spans="2:23" ht="18.75" x14ac:dyDescent="0.25">
      <c r="B11" s="1">
        <v>350</v>
      </c>
      <c r="C11" s="1">
        <v>356</v>
      </c>
      <c r="D11" s="2">
        <f t="shared" si="1"/>
        <v>1118.8571276</v>
      </c>
      <c r="E11" s="2">
        <v>235</v>
      </c>
      <c r="F11" s="2">
        <v>6</v>
      </c>
      <c r="G11" s="2">
        <f t="shared" si="2"/>
        <v>371</v>
      </c>
      <c r="H11" s="2">
        <f t="shared" si="3"/>
        <v>1165.9999841000001</v>
      </c>
      <c r="I11" s="2">
        <v>100</v>
      </c>
      <c r="J11" s="2">
        <v>8</v>
      </c>
      <c r="K11" s="2">
        <f t="shared" si="4"/>
        <v>390</v>
      </c>
      <c r="L11" s="2">
        <f t="shared" si="5"/>
        <v>1225.7142690000001</v>
      </c>
      <c r="M11" s="2">
        <v>32</v>
      </c>
      <c r="N11" s="2">
        <v>5</v>
      </c>
      <c r="O11" s="2">
        <f t="shared" si="6"/>
        <v>132</v>
      </c>
      <c r="P11" s="2">
        <f t="shared" si="0"/>
        <v>7021.1427614000004</v>
      </c>
      <c r="Q11" s="2">
        <f t="shared" si="7"/>
        <v>281.61979375590556</v>
      </c>
      <c r="R11" s="3">
        <f t="shared" si="8"/>
        <v>23.468316146325463</v>
      </c>
      <c r="S11" s="8">
        <f t="shared" si="9"/>
        <v>5.0142337068516278</v>
      </c>
      <c r="U11" s="11">
        <f t="shared" si="10"/>
        <v>350</v>
      </c>
      <c r="V11" s="7">
        <f t="shared" si="11"/>
        <v>23.468316146325463</v>
      </c>
      <c r="W11" s="7">
        <f t="shared" si="12"/>
        <v>5.0142337068516278</v>
      </c>
    </row>
    <row r="12" spans="2:23" ht="18.75" x14ac:dyDescent="0.25">
      <c r="B12" s="1">
        <v>400</v>
      </c>
      <c r="C12" s="1">
        <v>406</v>
      </c>
      <c r="D12" s="2">
        <f t="shared" si="1"/>
        <v>1275.9999826000001</v>
      </c>
      <c r="E12" s="2">
        <v>235</v>
      </c>
      <c r="F12" s="2">
        <v>6</v>
      </c>
      <c r="G12" s="2">
        <f t="shared" si="2"/>
        <v>421</v>
      </c>
      <c r="H12" s="2">
        <f t="shared" si="3"/>
        <v>1323.1428390999999</v>
      </c>
      <c r="I12" s="2">
        <v>100</v>
      </c>
      <c r="J12" s="2">
        <v>8</v>
      </c>
      <c r="K12" s="2">
        <f t="shared" si="4"/>
        <v>440</v>
      </c>
      <c r="L12" s="2">
        <f t="shared" si="5"/>
        <v>1382.8571240000001</v>
      </c>
      <c r="M12" s="2">
        <v>32</v>
      </c>
      <c r="N12" s="2">
        <v>5</v>
      </c>
      <c r="O12" s="2">
        <f t="shared" si="6"/>
        <v>132</v>
      </c>
      <c r="P12" s="2">
        <f t="shared" si="0"/>
        <v>7963.9998914000007</v>
      </c>
      <c r="Q12" s="2">
        <f t="shared" si="7"/>
        <v>318.74015320472444</v>
      </c>
      <c r="R12" s="3">
        <f t="shared" si="8"/>
        <v>26.561679433727036</v>
      </c>
      <c r="S12" s="8">
        <f t="shared" si="9"/>
        <v>5.6875864875389546</v>
      </c>
      <c r="U12" s="11">
        <f t="shared" si="10"/>
        <v>400</v>
      </c>
      <c r="V12" s="7">
        <f t="shared" si="11"/>
        <v>26.561679433727036</v>
      </c>
      <c r="W12" s="7">
        <f t="shared" si="12"/>
        <v>5.6875864875389546</v>
      </c>
    </row>
    <row r="13" spans="2:23" ht="18.75" x14ac:dyDescent="0.25">
      <c r="B13" s="1">
        <v>450</v>
      </c>
      <c r="C13" s="1">
        <v>456</v>
      </c>
      <c r="D13" s="2">
        <f t="shared" si="1"/>
        <v>1433.1428376000001</v>
      </c>
      <c r="E13" s="2">
        <v>235</v>
      </c>
      <c r="F13" s="2">
        <v>6</v>
      </c>
      <c r="G13" s="2">
        <f t="shared" si="2"/>
        <v>471</v>
      </c>
      <c r="H13" s="2">
        <f t="shared" si="3"/>
        <v>1480.2856941</v>
      </c>
      <c r="I13" s="2">
        <v>100</v>
      </c>
      <c r="J13" s="2">
        <v>8</v>
      </c>
      <c r="K13" s="2">
        <f t="shared" si="4"/>
        <v>490</v>
      </c>
      <c r="L13" s="2">
        <f t="shared" si="5"/>
        <v>1539.9999789999999</v>
      </c>
      <c r="M13" s="2">
        <v>32</v>
      </c>
      <c r="N13" s="2">
        <v>6</v>
      </c>
      <c r="O13" s="2">
        <f t="shared" si="6"/>
        <v>132</v>
      </c>
      <c r="P13" s="2">
        <f t="shared" si="0"/>
        <v>8906.857021400001</v>
      </c>
      <c r="Q13" s="2">
        <f t="shared" si="7"/>
        <v>355.86051265354337</v>
      </c>
      <c r="R13" s="3">
        <f t="shared" si="8"/>
        <v>29.655042721128613</v>
      </c>
      <c r="S13" s="8">
        <f t="shared" si="9"/>
        <v>6.3609392682262822</v>
      </c>
      <c r="U13" s="11">
        <f t="shared" si="10"/>
        <v>450</v>
      </c>
      <c r="V13" s="7">
        <f t="shared" si="11"/>
        <v>29.655042721128613</v>
      </c>
      <c r="W13" s="7">
        <f t="shared" si="12"/>
        <v>6.3609392682262822</v>
      </c>
    </row>
    <row r="14" spans="2:23" ht="18.75" x14ac:dyDescent="0.25">
      <c r="B14" s="1">
        <v>500</v>
      </c>
      <c r="C14" s="1">
        <v>508</v>
      </c>
      <c r="D14" s="2">
        <f t="shared" si="1"/>
        <v>1596.5714068</v>
      </c>
      <c r="E14" s="2">
        <v>235</v>
      </c>
      <c r="F14" s="2">
        <v>6</v>
      </c>
      <c r="G14" s="2">
        <f t="shared" si="2"/>
        <v>523</v>
      </c>
      <c r="H14" s="2">
        <f t="shared" si="3"/>
        <v>1643.7142633000001</v>
      </c>
      <c r="I14" s="2">
        <v>100</v>
      </c>
      <c r="J14" s="2">
        <v>8</v>
      </c>
      <c r="K14" s="2">
        <f t="shared" si="4"/>
        <v>542</v>
      </c>
      <c r="L14" s="2">
        <f t="shared" si="5"/>
        <v>1703.4285482</v>
      </c>
      <c r="M14" s="2">
        <v>32</v>
      </c>
      <c r="N14" s="2">
        <v>6</v>
      </c>
      <c r="O14" s="2">
        <f>E14+I14+M14</f>
        <v>367</v>
      </c>
      <c r="P14" s="2">
        <f t="shared" si="0"/>
        <v>9887.4284365999993</v>
      </c>
      <c r="Q14" s="2">
        <f t="shared" si="7"/>
        <v>403.71765498425196</v>
      </c>
      <c r="R14" s="3">
        <f t="shared" si="8"/>
        <v>33.64313791535433</v>
      </c>
      <c r="S14" s="8">
        <f t="shared" si="9"/>
        <v>19.632348490695332</v>
      </c>
      <c r="U14" s="11">
        <f t="shared" si="10"/>
        <v>500</v>
      </c>
      <c r="V14" s="7">
        <f t="shared" si="11"/>
        <v>33.64313791535433</v>
      </c>
      <c r="W14" s="7">
        <f t="shared" si="12"/>
        <v>19.632348490695332</v>
      </c>
    </row>
    <row r="15" spans="2:23" ht="18.75" x14ac:dyDescent="0.25">
      <c r="B15" s="1">
        <v>600</v>
      </c>
      <c r="C15" s="1">
        <v>610</v>
      </c>
      <c r="D15" s="2">
        <f t="shared" si="1"/>
        <v>1917.1428310000001</v>
      </c>
      <c r="E15" s="2">
        <v>235</v>
      </c>
      <c r="F15" s="2">
        <v>6</v>
      </c>
      <c r="G15" s="2">
        <f t="shared" si="2"/>
        <v>625</v>
      </c>
      <c r="H15" s="2">
        <f t="shared" si="3"/>
        <v>1964.2856875</v>
      </c>
      <c r="I15" s="2">
        <v>100</v>
      </c>
      <c r="J15" s="2">
        <v>8</v>
      </c>
      <c r="K15" s="2">
        <f>G15+(2*J15)+5</f>
        <v>646</v>
      </c>
      <c r="L15" s="2">
        <f t="shared" si="5"/>
        <v>2030.2856866</v>
      </c>
      <c r="M15" s="2">
        <v>32</v>
      </c>
      <c r="N15" s="2">
        <v>6</v>
      </c>
      <c r="O15" s="2">
        <f t="shared" ref="O15:O25" si="13">E15+I15+M15</f>
        <v>367</v>
      </c>
      <c r="P15" s="2">
        <f t="shared" si="0"/>
        <v>11823.4284102</v>
      </c>
      <c r="Q15" s="2">
        <f t="shared" si="7"/>
        <v>479.93812638582682</v>
      </c>
      <c r="R15" s="3">
        <f t="shared" si="8"/>
        <v>39.994843865485571</v>
      </c>
      <c r="S15" s="8">
        <f t="shared" si="9"/>
        <v>23.476444698663652</v>
      </c>
      <c r="U15" s="11">
        <f t="shared" si="10"/>
        <v>600</v>
      </c>
      <c r="V15" s="7">
        <f t="shared" si="11"/>
        <v>39.994843865485571</v>
      </c>
      <c r="W15" s="7">
        <f t="shared" si="12"/>
        <v>23.476444698663652</v>
      </c>
    </row>
    <row r="16" spans="2:23" ht="18.75" x14ac:dyDescent="0.25">
      <c r="B16" s="1">
        <v>700</v>
      </c>
      <c r="C16" s="1">
        <v>711</v>
      </c>
      <c r="D16" s="2">
        <f t="shared" si="1"/>
        <v>2234.5713980999999</v>
      </c>
      <c r="E16" s="2">
        <v>235</v>
      </c>
      <c r="F16" s="2">
        <v>8</v>
      </c>
      <c r="G16" s="2">
        <f t="shared" si="2"/>
        <v>730</v>
      </c>
      <c r="H16" s="2">
        <f t="shared" si="3"/>
        <v>2294.2856830000001</v>
      </c>
      <c r="I16" s="2">
        <v>100</v>
      </c>
      <c r="J16" s="2">
        <v>10</v>
      </c>
      <c r="K16" s="2">
        <f t="shared" ref="K16:K23" si="14">G16+(2*J16)+5</f>
        <v>755</v>
      </c>
      <c r="L16" s="2">
        <f t="shared" si="5"/>
        <v>2372.8571105000001</v>
      </c>
      <c r="M16" s="2">
        <v>40</v>
      </c>
      <c r="N16" s="2">
        <v>6</v>
      </c>
      <c r="O16" s="2">
        <f t="shared" si="13"/>
        <v>375</v>
      </c>
      <c r="P16" s="2">
        <f t="shared" si="0"/>
        <v>13803.4283832</v>
      </c>
      <c r="Q16" s="2">
        <f>SUM(O16:P16)/25.4</f>
        <v>558.20584185826772</v>
      </c>
      <c r="R16" s="3">
        <f t="shared" si="8"/>
        <v>46.517153488188974</v>
      </c>
      <c r="S16" s="8">
        <f t="shared" si="9"/>
        <v>28.005354287677459</v>
      </c>
      <c r="U16" s="11">
        <f t="shared" si="10"/>
        <v>700</v>
      </c>
      <c r="V16" s="7">
        <f t="shared" si="11"/>
        <v>46.517153488188974</v>
      </c>
      <c r="W16" s="7">
        <f t="shared" si="12"/>
        <v>28.005354287677459</v>
      </c>
    </row>
    <row r="17" spans="2:23" ht="18.75" x14ac:dyDescent="0.25">
      <c r="B17" s="1">
        <v>750</v>
      </c>
      <c r="C17" s="1">
        <v>762</v>
      </c>
      <c r="D17" s="2">
        <f t="shared" si="1"/>
        <v>2394.8571102000001</v>
      </c>
      <c r="E17" s="2">
        <v>235</v>
      </c>
      <c r="F17" s="2">
        <v>8</v>
      </c>
      <c r="G17" s="2">
        <f t="shared" si="2"/>
        <v>781</v>
      </c>
      <c r="H17" s="2">
        <f t="shared" si="3"/>
        <v>2454.5713951000002</v>
      </c>
      <c r="I17" s="2">
        <v>100</v>
      </c>
      <c r="J17" s="2">
        <v>10</v>
      </c>
      <c r="K17" s="2">
        <f t="shared" si="14"/>
        <v>806</v>
      </c>
      <c r="L17" s="2">
        <f t="shared" si="5"/>
        <v>2533.1428226000003</v>
      </c>
      <c r="M17" s="2">
        <v>40</v>
      </c>
      <c r="N17" s="2">
        <v>6</v>
      </c>
      <c r="O17" s="2">
        <f t="shared" si="13"/>
        <v>375</v>
      </c>
      <c r="P17" s="2">
        <f t="shared" si="0"/>
        <v>14765.142655800002</v>
      </c>
      <c r="Q17" s="2">
        <f t="shared" si="7"/>
        <v>596.06860849606312</v>
      </c>
      <c r="R17" s="3">
        <f t="shared" si="8"/>
        <v>49.672384041338596</v>
      </c>
      <c r="S17" s="8">
        <f t="shared" si="9"/>
        <v>29.956547004441877</v>
      </c>
      <c r="U17" s="11">
        <f t="shared" si="10"/>
        <v>750</v>
      </c>
      <c r="V17" s="7">
        <f t="shared" si="11"/>
        <v>49.672384041338596</v>
      </c>
      <c r="W17" s="7">
        <f t="shared" si="12"/>
        <v>29.956547004441877</v>
      </c>
    </row>
    <row r="18" spans="2:23" ht="18.75" x14ac:dyDescent="0.25">
      <c r="B18" s="1">
        <v>800</v>
      </c>
      <c r="C18" s="1">
        <v>813</v>
      </c>
      <c r="D18" s="2">
        <f t="shared" si="1"/>
        <v>2555.1428223000003</v>
      </c>
      <c r="E18" s="2">
        <v>235</v>
      </c>
      <c r="F18" s="2">
        <v>8</v>
      </c>
      <c r="G18" s="2">
        <f t="shared" si="2"/>
        <v>832</v>
      </c>
      <c r="H18" s="2">
        <f t="shared" si="3"/>
        <v>2614.8571072</v>
      </c>
      <c r="I18" s="2">
        <v>95</v>
      </c>
      <c r="J18" s="2">
        <v>10</v>
      </c>
      <c r="K18" s="2">
        <f t="shared" si="14"/>
        <v>857</v>
      </c>
      <c r="L18" s="2">
        <f t="shared" si="5"/>
        <v>2693.4285347</v>
      </c>
      <c r="M18" s="2">
        <v>40</v>
      </c>
      <c r="N18" s="2">
        <v>6</v>
      </c>
      <c r="O18" s="2">
        <f t="shared" si="13"/>
        <v>370</v>
      </c>
      <c r="P18" s="2">
        <f t="shared" si="0"/>
        <v>15726.8569284</v>
      </c>
      <c r="Q18" s="2">
        <f t="shared" si="7"/>
        <v>633.73452474015755</v>
      </c>
      <c r="R18" s="3">
        <f t="shared" si="8"/>
        <v>52.811210395013127</v>
      </c>
      <c r="S18" s="8">
        <f t="shared" si="9"/>
        <v>31.482303191590201</v>
      </c>
      <c r="U18" s="11">
        <f t="shared" si="10"/>
        <v>800</v>
      </c>
      <c r="V18" s="7">
        <f t="shared" si="11"/>
        <v>52.811210395013127</v>
      </c>
      <c r="W18" s="7">
        <f t="shared" si="12"/>
        <v>31.482303191590201</v>
      </c>
    </row>
    <row r="19" spans="2:23" ht="18.75" x14ac:dyDescent="0.25">
      <c r="B19" s="1">
        <v>900</v>
      </c>
      <c r="C19" s="1">
        <v>914</v>
      </c>
      <c r="D19" s="2">
        <f t="shared" si="1"/>
        <v>2872.5713894</v>
      </c>
      <c r="E19" s="2">
        <v>235</v>
      </c>
      <c r="F19" s="2">
        <v>8</v>
      </c>
      <c r="G19" s="2">
        <f t="shared" si="2"/>
        <v>933</v>
      </c>
      <c r="H19" s="2">
        <f t="shared" si="3"/>
        <v>2932.2856743000002</v>
      </c>
      <c r="I19" s="2">
        <v>95</v>
      </c>
      <c r="J19" s="2">
        <v>10</v>
      </c>
      <c r="K19" s="2">
        <f t="shared" si="14"/>
        <v>958</v>
      </c>
      <c r="L19" s="2">
        <f t="shared" si="5"/>
        <v>3010.8571018000002</v>
      </c>
      <c r="M19" s="2">
        <v>40</v>
      </c>
      <c r="N19" s="2">
        <v>6</v>
      </c>
      <c r="O19" s="2">
        <f t="shared" si="13"/>
        <v>370</v>
      </c>
      <c r="P19" s="2">
        <f t="shared" si="0"/>
        <v>17631.428331000003</v>
      </c>
      <c r="Q19" s="2">
        <f t="shared" si="7"/>
        <v>708.71765082677177</v>
      </c>
      <c r="R19" s="3">
        <f t="shared" si="8"/>
        <v>59.059804235564314</v>
      </c>
      <c r="S19" s="8">
        <f t="shared" si="9"/>
        <v>35.29490825436072</v>
      </c>
      <c r="U19" s="11">
        <f t="shared" si="10"/>
        <v>900</v>
      </c>
      <c r="V19" s="7">
        <f t="shared" si="11"/>
        <v>59.059804235564314</v>
      </c>
      <c r="W19" s="7">
        <f t="shared" si="12"/>
        <v>35.29490825436072</v>
      </c>
    </row>
    <row r="20" spans="2:23" ht="18.75" x14ac:dyDescent="0.25">
      <c r="B20" s="1">
        <v>1000</v>
      </c>
      <c r="C20" s="1">
        <v>1016</v>
      </c>
      <c r="D20" s="2">
        <f t="shared" si="1"/>
        <v>3193.1428136</v>
      </c>
      <c r="E20" s="2">
        <v>235</v>
      </c>
      <c r="F20" s="2">
        <v>8</v>
      </c>
      <c r="G20" s="2">
        <f t="shared" si="2"/>
        <v>1035</v>
      </c>
      <c r="H20" s="2">
        <f t="shared" si="3"/>
        <v>3252.8570985000001</v>
      </c>
      <c r="I20" s="2">
        <v>85</v>
      </c>
      <c r="J20" s="2">
        <v>10</v>
      </c>
      <c r="K20" s="2">
        <f t="shared" si="14"/>
        <v>1060</v>
      </c>
      <c r="L20" s="2">
        <f t="shared" si="5"/>
        <v>3331.4285260000001</v>
      </c>
      <c r="M20" s="2">
        <v>50</v>
      </c>
      <c r="N20" s="2">
        <v>8</v>
      </c>
      <c r="O20" s="2">
        <f t="shared" si="13"/>
        <v>370</v>
      </c>
      <c r="P20" s="2">
        <f t="shared" si="0"/>
        <v>19554.8568762</v>
      </c>
      <c r="Q20" s="2">
        <f t="shared" si="7"/>
        <v>784.44318410236224</v>
      </c>
      <c r="R20" s="3">
        <f t="shared" si="8"/>
        <v>65.370265341863515</v>
      </c>
      <c r="S20" s="8">
        <f t="shared" si="9"/>
        <v>39.14526188210916</v>
      </c>
      <c r="U20" s="11">
        <f t="shared" si="10"/>
        <v>1000</v>
      </c>
      <c r="V20" s="7">
        <f t="shared" si="11"/>
        <v>65.370265341863515</v>
      </c>
      <c r="W20" s="7">
        <f t="shared" si="12"/>
        <v>39.14526188210916</v>
      </c>
    </row>
    <row r="21" spans="2:23" ht="18.75" x14ac:dyDescent="0.25">
      <c r="B21" s="1">
        <v>1100</v>
      </c>
      <c r="C21" s="1">
        <v>1118</v>
      </c>
      <c r="D21" s="2">
        <f t="shared" si="1"/>
        <v>3513.7142377999999</v>
      </c>
      <c r="E21" s="2">
        <v>250</v>
      </c>
      <c r="F21" s="2">
        <v>10</v>
      </c>
      <c r="G21" s="2">
        <f t="shared" si="2"/>
        <v>1141</v>
      </c>
      <c r="H21" s="2">
        <f t="shared" si="3"/>
        <v>3585.9999511000001</v>
      </c>
      <c r="I21" s="2">
        <v>110</v>
      </c>
      <c r="J21" s="2">
        <v>12</v>
      </c>
      <c r="K21" s="2">
        <f t="shared" si="14"/>
        <v>1170</v>
      </c>
      <c r="L21" s="2">
        <f t="shared" si="5"/>
        <v>3677.1428070000002</v>
      </c>
      <c r="M21" s="2">
        <v>50</v>
      </c>
      <c r="N21" s="2">
        <v>8</v>
      </c>
      <c r="O21" s="2">
        <f t="shared" si="13"/>
        <v>410</v>
      </c>
      <c r="P21" s="2">
        <f t="shared" si="0"/>
        <v>21553.713991799999</v>
      </c>
      <c r="Q21" s="2">
        <f t="shared" si="7"/>
        <v>864.71314928346465</v>
      </c>
      <c r="R21" s="3">
        <f t="shared" si="8"/>
        <v>72.059429106955392</v>
      </c>
      <c r="S21" s="8">
        <f t="shared" si="9"/>
        <v>47.811108123257881</v>
      </c>
      <c r="U21" s="11">
        <f t="shared" si="10"/>
        <v>1100</v>
      </c>
      <c r="V21" s="7">
        <f t="shared" si="11"/>
        <v>72.059429106955392</v>
      </c>
      <c r="W21" s="7">
        <f t="shared" si="12"/>
        <v>47.811108123257881</v>
      </c>
    </row>
    <row r="22" spans="2:23" ht="18.75" x14ac:dyDescent="0.25">
      <c r="B22" s="1">
        <v>1200</v>
      </c>
      <c r="C22" s="1">
        <v>1219</v>
      </c>
      <c r="D22" s="2">
        <f t="shared" si="1"/>
        <v>3831.1428049000001</v>
      </c>
      <c r="E22" s="2">
        <v>250</v>
      </c>
      <c r="F22" s="2">
        <v>10</v>
      </c>
      <c r="G22" s="2">
        <f t="shared" si="2"/>
        <v>1242</v>
      </c>
      <c r="H22" s="2">
        <f t="shared" si="3"/>
        <v>3903.4285181999999</v>
      </c>
      <c r="I22" s="2">
        <v>110</v>
      </c>
      <c r="J22" s="2">
        <v>12</v>
      </c>
      <c r="K22" s="2">
        <f t="shared" si="14"/>
        <v>1271</v>
      </c>
      <c r="L22" s="2">
        <f t="shared" si="5"/>
        <v>3994.5713741</v>
      </c>
      <c r="M22" s="2">
        <v>50</v>
      </c>
      <c r="N22" s="2">
        <v>8</v>
      </c>
      <c r="O22" s="2">
        <f t="shared" si="13"/>
        <v>410</v>
      </c>
      <c r="P22" s="2">
        <f t="shared" si="0"/>
        <v>23458.285394400002</v>
      </c>
      <c r="Q22" s="2">
        <f t="shared" si="7"/>
        <v>939.69627537007887</v>
      </c>
      <c r="R22" s="3">
        <f t="shared" si="8"/>
        <v>78.308022947506572</v>
      </c>
      <c r="S22" s="8">
        <f t="shared" si="9"/>
        <v>52.035886706327915</v>
      </c>
      <c r="U22" s="11">
        <f t="shared" si="10"/>
        <v>1200</v>
      </c>
      <c r="V22" s="7">
        <f t="shared" si="11"/>
        <v>78.308022947506572</v>
      </c>
      <c r="W22" s="7">
        <f t="shared" si="12"/>
        <v>52.035886706327915</v>
      </c>
    </row>
    <row r="23" spans="2:23" ht="18.75" x14ac:dyDescent="0.25">
      <c r="B23" s="1">
        <v>1300</v>
      </c>
      <c r="C23" s="1">
        <v>1320</v>
      </c>
      <c r="D23" s="2">
        <f t="shared" si="1"/>
        <v>4148.5713720000003</v>
      </c>
      <c r="E23" s="2">
        <v>250</v>
      </c>
      <c r="F23" s="2">
        <v>10</v>
      </c>
      <c r="G23" s="2">
        <f t="shared" si="2"/>
        <v>1343</v>
      </c>
      <c r="H23" s="2">
        <f t="shared" si="3"/>
        <v>4220.8570853000001</v>
      </c>
      <c r="I23" s="2">
        <v>110</v>
      </c>
      <c r="J23" s="2">
        <v>12</v>
      </c>
      <c r="K23" s="2">
        <f t="shared" si="14"/>
        <v>1372</v>
      </c>
      <c r="L23" s="2">
        <f t="shared" si="5"/>
        <v>4311.9999411999997</v>
      </c>
      <c r="M23" s="2">
        <v>50</v>
      </c>
      <c r="N23" s="2">
        <v>8</v>
      </c>
      <c r="O23" s="2">
        <f t="shared" si="13"/>
        <v>410</v>
      </c>
      <c r="P23" s="2">
        <f t="shared" si="0"/>
        <v>25362.856797</v>
      </c>
      <c r="Q23" s="2">
        <f t="shared" si="7"/>
        <v>1014.679401456693</v>
      </c>
      <c r="R23" s="3">
        <f t="shared" si="8"/>
        <v>84.556616788057752</v>
      </c>
      <c r="S23" s="8">
        <f t="shared" si="9"/>
        <v>56.260665289397949</v>
      </c>
      <c r="U23" s="11">
        <f t="shared" si="10"/>
        <v>1300</v>
      </c>
      <c r="V23" s="7">
        <f t="shared" si="11"/>
        <v>84.556616788057752</v>
      </c>
      <c r="W23" s="7">
        <f t="shared" si="12"/>
        <v>56.260665289397949</v>
      </c>
    </row>
    <row r="24" spans="2:23" ht="18.75" x14ac:dyDescent="0.25">
      <c r="B24" s="1">
        <v>1400</v>
      </c>
      <c r="C24" s="1">
        <v>1420</v>
      </c>
      <c r="D24" s="2">
        <f t="shared" si="1"/>
        <v>4462.8570820000004</v>
      </c>
      <c r="E24" s="2">
        <v>250</v>
      </c>
      <c r="F24" s="2">
        <v>10</v>
      </c>
      <c r="G24" s="2">
        <f t="shared" si="2"/>
        <v>1443</v>
      </c>
      <c r="H24" s="2">
        <f t="shared" si="3"/>
        <v>4535.1427953000002</v>
      </c>
      <c r="I24" s="2">
        <v>110</v>
      </c>
      <c r="J24" s="2">
        <v>12</v>
      </c>
      <c r="K24" s="2">
        <f t="shared" ref="K24:K40" si="15">G24+(2*J24)+5</f>
        <v>1472</v>
      </c>
      <c r="L24" s="2">
        <f t="shared" si="5"/>
        <v>4626.2856511999998</v>
      </c>
      <c r="M24" s="2">
        <v>50</v>
      </c>
      <c r="N24" s="2">
        <v>8</v>
      </c>
      <c r="O24" s="2">
        <f t="shared" si="13"/>
        <v>410</v>
      </c>
      <c r="P24" s="2">
        <f t="shared" si="0"/>
        <v>27248.571057000001</v>
      </c>
      <c r="Q24" s="2">
        <f t="shared" si="7"/>
        <v>1088.9201203543307</v>
      </c>
      <c r="R24" s="3">
        <f t="shared" si="8"/>
        <v>90.743343362860898</v>
      </c>
      <c r="S24" s="8">
        <f t="shared" si="9"/>
        <v>60.443614381546489</v>
      </c>
      <c r="U24" s="11">
        <f t="shared" si="10"/>
        <v>1400</v>
      </c>
      <c r="V24" s="7">
        <f t="shared" si="11"/>
        <v>90.743343362860898</v>
      </c>
      <c r="W24" s="7">
        <f t="shared" si="12"/>
        <v>60.443614381546489</v>
      </c>
    </row>
    <row r="25" spans="2:23" ht="18.75" x14ac:dyDescent="0.25">
      <c r="B25" s="1">
        <v>1500</v>
      </c>
      <c r="C25" s="1">
        <v>1524</v>
      </c>
      <c r="D25" s="2">
        <f t="shared" si="1"/>
        <v>4789.7142204000002</v>
      </c>
      <c r="E25" s="2">
        <v>300</v>
      </c>
      <c r="F25" s="2">
        <v>10</v>
      </c>
      <c r="G25" s="2">
        <f t="shared" si="2"/>
        <v>1547</v>
      </c>
      <c r="H25" s="2">
        <f t="shared" si="3"/>
        <v>4861.9999336999999</v>
      </c>
      <c r="I25" s="2">
        <v>120</v>
      </c>
      <c r="J25" s="2">
        <v>12</v>
      </c>
      <c r="K25" s="2">
        <f t="shared" si="15"/>
        <v>1576</v>
      </c>
      <c r="L25" s="2">
        <f t="shared" si="5"/>
        <v>4953.1427896000005</v>
      </c>
      <c r="M25" s="2">
        <v>50</v>
      </c>
      <c r="N25" s="2">
        <v>8</v>
      </c>
      <c r="O25" s="2">
        <f t="shared" si="13"/>
        <v>470</v>
      </c>
      <c r="P25" s="2">
        <f t="shared" si="0"/>
        <v>29209.713887400001</v>
      </c>
      <c r="Q25" s="2">
        <f t="shared" si="7"/>
        <v>1168.4926727322836</v>
      </c>
      <c r="R25" s="3">
        <f t="shared" si="8"/>
        <v>97.374389394356967</v>
      </c>
      <c r="S25" s="8">
        <f t="shared" si="9"/>
        <v>74.275912867241601</v>
      </c>
      <c r="U25" s="11">
        <f t="shared" si="10"/>
        <v>1500</v>
      </c>
      <c r="V25" s="7">
        <f t="shared" si="11"/>
        <v>97.374389394356967</v>
      </c>
      <c r="W25" s="7">
        <f t="shared" si="12"/>
        <v>74.275912867241601</v>
      </c>
    </row>
    <row r="26" spans="2:23" ht="18.75" x14ac:dyDescent="0.25">
      <c r="B26" s="1">
        <v>1600</v>
      </c>
      <c r="C26" s="1">
        <v>1624</v>
      </c>
      <c r="D26" s="2">
        <f t="shared" ref="D26" si="16">C26*3.1428571</f>
        <v>5103.9999304000003</v>
      </c>
      <c r="E26" s="2">
        <v>300</v>
      </c>
      <c r="F26" s="2">
        <v>12</v>
      </c>
      <c r="G26" s="2">
        <f t="shared" ref="G26" si="17">C26+(2*F26)+3</f>
        <v>1651</v>
      </c>
      <c r="H26" s="2">
        <f t="shared" ref="H26" si="18">G26*3.1428571</f>
        <v>5188.8570721000006</v>
      </c>
      <c r="I26" s="2">
        <v>140</v>
      </c>
      <c r="J26" s="2">
        <v>12</v>
      </c>
      <c r="K26" s="2">
        <f t="shared" si="15"/>
        <v>1680</v>
      </c>
      <c r="L26" s="2">
        <f t="shared" ref="L26" si="19">K26*3.1428571</f>
        <v>5279.9999280000002</v>
      </c>
      <c r="M26" s="2">
        <v>50</v>
      </c>
      <c r="N26" s="2">
        <v>8</v>
      </c>
      <c r="O26" s="2">
        <f t="shared" ref="O26" si="20">E26+I26+M26</f>
        <v>490</v>
      </c>
      <c r="P26" s="2">
        <f t="shared" si="0"/>
        <v>31145.713861000004</v>
      </c>
      <c r="Q26" s="2">
        <f t="shared" ref="Q26" si="21">SUM(O26:P26)/25.4</f>
        <v>1245.5005457086615</v>
      </c>
      <c r="R26" s="3">
        <f t="shared" ref="R26" si="22">Q26/12</f>
        <v>103.79171214238846</v>
      </c>
      <c r="S26" s="8">
        <f t="shared" ref="S26" si="23">((P26*O26)/92416)/2</f>
        <v>82.569034538878569</v>
      </c>
      <c r="U26" s="11">
        <f t="shared" si="10"/>
        <v>1600</v>
      </c>
      <c r="V26" s="7">
        <f t="shared" si="11"/>
        <v>103.79171214238846</v>
      </c>
      <c r="W26" s="7">
        <f t="shared" si="12"/>
        <v>82.569034538878569</v>
      </c>
    </row>
    <row r="27" spans="2:23" ht="18.75" x14ac:dyDescent="0.25">
      <c r="B27" s="1">
        <v>1700</v>
      </c>
      <c r="C27" s="1">
        <v>1724</v>
      </c>
      <c r="D27" s="2">
        <f t="shared" ref="D27:D40" si="24">C27*3.1428571</f>
        <v>5418.2856404000004</v>
      </c>
      <c r="E27" s="2">
        <v>300</v>
      </c>
      <c r="F27" s="2">
        <v>12</v>
      </c>
      <c r="G27" s="2">
        <f t="shared" ref="G27:G40" si="25">C27+(2*F27)+3</f>
        <v>1751</v>
      </c>
      <c r="H27" s="2">
        <f t="shared" ref="H27:H40" si="26">G27*3.1428571</f>
        <v>5503.1427820999997</v>
      </c>
      <c r="I27" s="2">
        <v>140</v>
      </c>
      <c r="J27" s="2">
        <v>14</v>
      </c>
      <c r="K27" s="2">
        <f t="shared" si="15"/>
        <v>1784</v>
      </c>
      <c r="L27" s="2">
        <f t="shared" ref="L27:L40" si="27">K27*3.1428571</f>
        <v>5606.8570663999999</v>
      </c>
      <c r="M27" s="2">
        <v>50</v>
      </c>
      <c r="N27" s="2">
        <v>8</v>
      </c>
      <c r="O27" s="2">
        <f t="shared" ref="O27:O40" si="28">E27+I27+M27</f>
        <v>490</v>
      </c>
      <c r="P27" s="2">
        <f t="shared" si="0"/>
        <v>33056.570977800002</v>
      </c>
      <c r="Q27" s="2">
        <f t="shared" ref="Q27:Q40" si="29">SUM(O27:P27)/25.4</f>
        <v>1320.731140858268</v>
      </c>
      <c r="R27" s="3">
        <f t="shared" ref="R27:R40" si="30">Q27/12</f>
        <v>110.06092840485566</v>
      </c>
      <c r="S27" s="8">
        <f t="shared" ref="S27:S40" si="31">((P27*O27)/92416)/2</f>
        <v>87.634823943483809</v>
      </c>
      <c r="U27" s="11">
        <f t="shared" si="10"/>
        <v>1700</v>
      </c>
      <c r="V27" s="7">
        <f t="shared" si="11"/>
        <v>110.06092840485566</v>
      </c>
      <c r="W27" s="7">
        <f t="shared" si="12"/>
        <v>87.634823943483809</v>
      </c>
    </row>
    <row r="28" spans="2:23" ht="18.75" x14ac:dyDescent="0.25">
      <c r="B28" s="1">
        <v>1800</v>
      </c>
      <c r="C28" s="1">
        <v>1824</v>
      </c>
      <c r="D28" s="2">
        <f t="shared" si="24"/>
        <v>5732.5713504000005</v>
      </c>
      <c r="E28" s="2">
        <v>300</v>
      </c>
      <c r="F28" s="2">
        <v>12</v>
      </c>
      <c r="G28" s="2">
        <f t="shared" si="25"/>
        <v>1851</v>
      </c>
      <c r="H28" s="2">
        <f t="shared" si="26"/>
        <v>5817.4284920999999</v>
      </c>
      <c r="I28" s="2">
        <v>140</v>
      </c>
      <c r="J28" s="2">
        <v>14</v>
      </c>
      <c r="K28" s="2">
        <f t="shared" si="15"/>
        <v>1884</v>
      </c>
      <c r="L28" s="2">
        <f t="shared" si="27"/>
        <v>5921.1427764</v>
      </c>
      <c r="M28" s="2">
        <v>50</v>
      </c>
      <c r="N28" s="2">
        <v>8</v>
      </c>
      <c r="O28" s="2">
        <f t="shared" si="28"/>
        <v>490</v>
      </c>
      <c r="P28" s="2">
        <f t="shared" si="0"/>
        <v>34942.285237800003</v>
      </c>
      <c r="Q28" s="2">
        <f t="shared" si="29"/>
        <v>1394.9718597559056</v>
      </c>
      <c r="R28" s="3">
        <f t="shared" si="30"/>
        <v>116.2476549796588</v>
      </c>
      <c r="S28" s="8">
        <f t="shared" si="31"/>
        <v>92.633958224344283</v>
      </c>
      <c r="U28" s="11">
        <f t="shared" si="10"/>
        <v>1800</v>
      </c>
      <c r="V28" s="7">
        <f t="shared" si="11"/>
        <v>116.2476549796588</v>
      </c>
      <c r="W28" s="7">
        <f t="shared" si="12"/>
        <v>92.633958224344283</v>
      </c>
    </row>
    <row r="29" spans="2:23" ht="18.75" x14ac:dyDescent="0.25">
      <c r="B29" s="1">
        <v>1900</v>
      </c>
      <c r="C29" s="1">
        <v>1924</v>
      </c>
      <c r="D29" s="2">
        <f t="shared" si="24"/>
        <v>6046.8570603999997</v>
      </c>
      <c r="E29" s="2">
        <v>300</v>
      </c>
      <c r="F29" s="2">
        <v>12</v>
      </c>
      <c r="G29" s="2">
        <f t="shared" si="25"/>
        <v>1951</v>
      </c>
      <c r="H29" s="2">
        <f t="shared" si="26"/>
        <v>6131.7142021</v>
      </c>
      <c r="I29" s="2">
        <v>140</v>
      </c>
      <c r="J29" s="2">
        <v>14</v>
      </c>
      <c r="K29" s="2">
        <f t="shared" si="15"/>
        <v>1984</v>
      </c>
      <c r="L29" s="2">
        <f t="shared" si="27"/>
        <v>6235.4284864000001</v>
      </c>
      <c r="M29" s="2">
        <v>50</v>
      </c>
      <c r="N29" s="2">
        <v>8</v>
      </c>
      <c r="O29" s="2">
        <f t="shared" si="28"/>
        <v>490</v>
      </c>
      <c r="P29" s="2">
        <f t="shared" si="0"/>
        <v>36827.999497800003</v>
      </c>
      <c r="Q29" s="2">
        <f t="shared" si="29"/>
        <v>1469.2125786535435</v>
      </c>
      <c r="R29" s="3">
        <f t="shared" si="30"/>
        <v>122.43438155446195</v>
      </c>
      <c r="S29" s="8">
        <f t="shared" si="31"/>
        <v>97.633092505204729</v>
      </c>
      <c r="U29" s="11">
        <f t="shared" si="10"/>
        <v>1900</v>
      </c>
      <c r="V29" s="7">
        <f t="shared" si="11"/>
        <v>122.43438155446195</v>
      </c>
      <c r="W29" s="7">
        <f t="shared" si="12"/>
        <v>97.633092505204729</v>
      </c>
    </row>
    <row r="30" spans="2:23" ht="18.75" x14ac:dyDescent="0.25">
      <c r="B30" s="1">
        <v>2000</v>
      </c>
      <c r="C30" s="1">
        <v>2024</v>
      </c>
      <c r="D30" s="2">
        <f t="shared" si="24"/>
        <v>6361.1427703999998</v>
      </c>
      <c r="E30" s="2">
        <v>300</v>
      </c>
      <c r="F30" s="2">
        <v>12</v>
      </c>
      <c r="G30" s="2">
        <f t="shared" si="25"/>
        <v>2051</v>
      </c>
      <c r="H30" s="2">
        <f t="shared" si="26"/>
        <v>6445.9999121000001</v>
      </c>
      <c r="I30" s="2">
        <v>140</v>
      </c>
      <c r="J30" s="2">
        <v>14</v>
      </c>
      <c r="K30" s="2">
        <f t="shared" si="15"/>
        <v>2084</v>
      </c>
      <c r="L30" s="2">
        <f t="shared" si="27"/>
        <v>6549.7141964000002</v>
      </c>
      <c r="M30" s="2">
        <v>50</v>
      </c>
      <c r="N30" s="2">
        <v>8</v>
      </c>
      <c r="O30" s="2">
        <f t="shared" si="28"/>
        <v>490</v>
      </c>
      <c r="P30" s="2">
        <f t="shared" si="0"/>
        <v>38713.713757799997</v>
      </c>
      <c r="Q30" s="2">
        <f t="shared" si="29"/>
        <v>1543.4532975511811</v>
      </c>
      <c r="R30" s="3">
        <f t="shared" si="30"/>
        <v>128.62110812926508</v>
      </c>
      <c r="S30" s="8">
        <f t="shared" si="31"/>
        <v>102.63222678606517</v>
      </c>
      <c r="U30" s="11">
        <f t="shared" si="10"/>
        <v>2000</v>
      </c>
      <c r="V30" s="7">
        <f t="shared" si="11"/>
        <v>128.62110812926508</v>
      </c>
      <c r="W30" s="7">
        <f t="shared" si="12"/>
        <v>102.63222678606517</v>
      </c>
    </row>
    <row r="31" spans="2:23" ht="18.75" x14ac:dyDescent="0.25">
      <c r="B31" s="1">
        <v>2100</v>
      </c>
      <c r="C31" s="1">
        <v>2124</v>
      </c>
      <c r="D31" s="2">
        <f t="shared" si="24"/>
        <v>6675.4284803999999</v>
      </c>
      <c r="E31" s="2">
        <v>300</v>
      </c>
      <c r="F31" s="2">
        <v>12</v>
      </c>
      <c r="G31" s="2">
        <f t="shared" si="25"/>
        <v>2151</v>
      </c>
      <c r="H31" s="2">
        <f t="shared" si="26"/>
        <v>6760.2856221000002</v>
      </c>
      <c r="I31" s="2">
        <v>140</v>
      </c>
      <c r="J31" s="2">
        <v>14</v>
      </c>
      <c r="K31" s="2">
        <f t="shared" si="15"/>
        <v>2184</v>
      </c>
      <c r="L31" s="2">
        <f t="shared" si="27"/>
        <v>6863.9999064000003</v>
      </c>
      <c r="M31" s="2">
        <v>50</v>
      </c>
      <c r="N31" s="2">
        <v>8</v>
      </c>
      <c r="O31" s="2">
        <f t="shared" si="28"/>
        <v>490</v>
      </c>
      <c r="P31" s="2">
        <f t="shared" si="0"/>
        <v>40599.428017800004</v>
      </c>
      <c r="Q31" s="2">
        <f t="shared" si="29"/>
        <v>1617.6940164488192</v>
      </c>
      <c r="R31" s="3">
        <f t="shared" si="30"/>
        <v>134.80783470406826</v>
      </c>
      <c r="S31" s="8">
        <f t="shared" si="31"/>
        <v>107.63136106692565</v>
      </c>
      <c r="U31" s="11">
        <f t="shared" si="10"/>
        <v>2100</v>
      </c>
      <c r="V31" s="7">
        <f t="shared" si="11"/>
        <v>134.80783470406826</v>
      </c>
      <c r="W31" s="7">
        <f t="shared" si="12"/>
        <v>107.63136106692565</v>
      </c>
    </row>
    <row r="32" spans="2:23" ht="18.75" x14ac:dyDescent="0.25">
      <c r="B32" s="1">
        <v>2200</v>
      </c>
      <c r="C32" s="1">
        <v>2232</v>
      </c>
      <c r="D32" s="2">
        <f t="shared" si="24"/>
        <v>7014.8570472000001</v>
      </c>
      <c r="E32" s="2">
        <v>300</v>
      </c>
      <c r="F32" s="2">
        <v>16</v>
      </c>
      <c r="G32" s="2">
        <f t="shared" si="25"/>
        <v>2267</v>
      </c>
      <c r="H32" s="2">
        <f t="shared" si="26"/>
        <v>7124.8570457000005</v>
      </c>
      <c r="I32" s="2">
        <v>140</v>
      </c>
      <c r="J32" s="2">
        <v>20</v>
      </c>
      <c r="K32" s="2">
        <f t="shared" si="15"/>
        <v>2312</v>
      </c>
      <c r="L32" s="2">
        <f t="shared" si="27"/>
        <v>7266.2856152000004</v>
      </c>
      <c r="M32" s="2">
        <v>50</v>
      </c>
      <c r="N32" s="2">
        <v>8</v>
      </c>
      <c r="O32" s="2">
        <f t="shared" si="28"/>
        <v>490</v>
      </c>
      <c r="P32" s="2">
        <f t="shared" si="0"/>
        <v>42811.999416200008</v>
      </c>
      <c r="Q32" s="2">
        <f t="shared" si="29"/>
        <v>1704.8031266220476</v>
      </c>
      <c r="R32" s="3">
        <f t="shared" si="30"/>
        <v>142.06692721850396</v>
      </c>
      <c r="S32" s="8">
        <f t="shared" si="31"/>
        <v>113.49701195646861</v>
      </c>
      <c r="U32" s="11">
        <f t="shared" si="10"/>
        <v>2200</v>
      </c>
      <c r="V32" s="7">
        <f t="shared" si="11"/>
        <v>142.06692721850396</v>
      </c>
      <c r="W32" s="7">
        <f t="shared" si="12"/>
        <v>113.49701195646861</v>
      </c>
    </row>
    <row r="33" spans="2:23" ht="18.75" x14ac:dyDescent="0.25">
      <c r="B33" s="1">
        <v>2300</v>
      </c>
      <c r="C33" s="1">
        <v>2332</v>
      </c>
      <c r="D33" s="2">
        <f t="shared" si="24"/>
        <v>7329.1427572000002</v>
      </c>
      <c r="E33" s="2">
        <v>300</v>
      </c>
      <c r="F33" s="2">
        <v>16</v>
      </c>
      <c r="G33" s="2">
        <f t="shared" si="25"/>
        <v>2367</v>
      </c>
      <c r="H33" s="2">
        <f t="shared" si="26"/>
        <v>7439.1427556999997</v>
      </c>
      <c r="I33" s="2">
        <v>140</v>
      </c>
      <c r="J33" s="2">
        <v>20</v>
      </c>
      <c r="K33" s="2">
        <f t="shared" si="15"/>
        <v>2412</v>
      </c>
      <c r="L33" s="2">
        <f t="shared" si="27"/>
        <v>7580.5713252000005</v>
      </c>
      <c r="M33" s="2">
        <v>50</v>
      </c>
      <c r="N33" s="2">
        <v>8</v>
      </c>
      <c r="O33" s="2">
        <f t="shared" si="28"/>
        <v>490</v>
      </c>
      <c r="P33" s="2">
        <f t="shared" si="0"/>
        <v>44697.713676200001</v>
      </c>
      <c r="Q33" s="2">
        <f t="shared" si="29"/>
        <v>1779.0438455196852</v>
      </c>
      <c r="R33" s="3">
        <f t="shared" si="30"/>
        <v>148.25365379330711</v>
      </c>
      <c r="S33" s="8">
        <f t="shared" si="31"/>
        <v>118.49614623732904</v>
      </c>
      <c r="U33" s="11">
        <f t="shared" si="10"/>
        <v>2300</v>
      </c>
      <c r="V33" s="7">
        <f t="shared" si="11"/>
        <v>148.25365379330711</v>
      </c>
      <c r="W33" s="7">
        <f t="shared" si="12"/>
        <v>118.49614623732904</v>
      </c>
    </row>
    <row r="34" spans="2:23" ht="18.75" x14ac:dyDescent="0.25">
      <c r="B34" s="1">
        <v>2400</v>
      </c>
      <c r="C34" s="1">
        <v>2432</v>
      </c>
      <c r="D34" s="2">
        <f t="shared" si="24"/>
        <v>7643.4284672000003</v>
      </c>
      <c r="E34" s="2">
        <v>300</v>
      </c>
      <c r="F34" s="2">
        <v>16</v>
      </c>
      <c r="G34" s="2">
        <f t="shared" si="25"/>
        <v>2467</v>
      </c>
      <c r="H34" s="2">
        <f t="shared" si="26"/>
        <v>7753.4284656999998</v>
      </c>
      <c r="I34" s="2">
        <v>140</v>
      </c>
      <c r="J34" s="2">
        <v>20</v>
      </c>
      <c r="K34" s="2">
        <f t="shared" si="15"/>
        <v>2512</v>
      </c>
      <c r="L34" s="2">
        <f t="shared" si="27"/>
        <v>7894.8570352000006</v>
      </c>
      <c r="M34" s="2">
        <v>50</v>
      </c>
      <c r="N34" s="2">
        <v>8</v>
      </c>
      <c r="O34" s="2">
        <f t="shared" si="28"/>
        <v>490</v>
      </c>
      <c r="P34" s="2">
        <f t="shared" si="0"/>
        <v>46583.427936200002</v>
      </c>
      <c r="Q34" s="2">
        <f t="shared" si="29"/>
        <v>1853.2845644173231</v>
      </c>
      <c r="R34" s="3">
        <f t="shared" si="30"/>
        <v>154.44038036811025</v>
      </c>
      <c r="S34" s="8">
        <f t="shared" si="31"/>
        <v>123.49528051818949</v>
      </c>
      <c r="U34" s="11">
        <f t="shared" si="10"/>
        <v>2400</v>
      </c>
      <c r="V34" s="7">
        <f t="shared" si="11"/>
        <v>154.44038036811025</v>
      </c>
      <c r="W34" s="7">
        <f t="shared" si="12"/>
        <v>123.49528051818949</v>
      </c>
    </row>
    <row r="35" spans="2:23" ht="18.75" x14ac:dyDescent="0.25">
      <c r="B35" s="1">
        <v>2500</v>
      </c>
      <c r="C35" s="1">
        <v>2532</v>
      </c>
      <c r="D35" s="2">
        <f t="shared" si="24"/>
        <v>7957.7141772000004</v>
      </c>
      <c r="E35" s="2">
        <v>300</v>
      </c>
      <c r="F35" s="2">
        <v>16</v>
      </c>
      <c r="G35" s="2">
        <f t="shared" si="25"/>
        <v>2567</v>
      </c>
      <c r="H35" s="2">
        <f t="shared" si="26"/>
        <v>8067.7141756999999</v>
      </c>
      <c r="I35" s="2">
        <v>140</v>
      </c>
      <c r="J35" s="2">
        <v>20</v>
      </c>
      <c r="K35" s="2">
        <f t="shared" si="15"/>
        <v>2612</v>
      </c>
      <c r="L35" s="2">
        <f t="shared" si="27"/>
        <v>8209.1427452000007</v>
      </c>
      <c r="M35" s="2">
        <v>50</v>
      </c>
      <c r="N35" s="2">
        <v>8</v>
      </c>
      <c r="O35" s="2">
        <f t="shared" si="28"/>
        <v>490</v>
      </c>
      <c r="P35" s="2">
        <f t="shared" si="0"/>
        <v>48469.142196200002</v>
      </c>
      <c r="Q35" s="2">
        <f t="shared" si="29"/>
        <v>1927.5252833149609</v>
      </c>
      <c r="R35" s="3">
        <f t="shared" si="30"/>
        <v>160.6271069429134</v>
      </c>
      <c r="S35" s="8">
        <f t="shared" si="31"/>
        <v>128.49441479904996</v>
      </c>
      <c r="U35" s="11">
        <f t="shared" si="10"/>
        <v>2500</v>
      </c>
      <c r="V35" s="7">
        <f t="shared" si="11"/>
        <v>160.6271069429134</v>
      </c>
      <c r="W35" s="7">
        <f t="shared" si="12"/>
        <v>128.49441479904996</v>
      </c>
    </row>
    <row r="36" spans="2:23" ht="18.75" x14ac:dyDescent="0.25">
      <c r="B36" s="1">
        <v>2600</v>
      </c>
      <c r="C36" s="1">
        <v>2632</v>
      </c>
      <c r="D36" s="2">
        <f t="shared" si="24"/>
        <v>8271.9998871999996</v>
      </c>
      <c r="E36" s="2">
        <v>300</v>
      </c>
      <c r="F36" s="2">
        <v>16</v>
      </c>
      <c r="G36" s="2">
        <f t="shared" si="25"/>
        <v>2667</v>
      </c>
      <c r="H36" s="2">
        <f t="shared" si="26"/>
        <v>8381.999885700001</v>
      </c>
      <c r="I36" s="2">
        <v>140</v>
      </c>
      <c r="J36" s="2">
        <v>20</v>
      </c>
      <c r="K36" s="2">
        <f t="shared" si="15"/>
        <v>2712</v>
      </c>
      <c r="L36" s="2">
        <f t="shared" si="27"/>
        <v>8523.4284552000008</v>
      </c>
      <c r="M36" s="2">
        <v>50</v>
      </c>
      <c r="N36" s="2">
        <v>8</v>
      </c>
      <c r="O36" s="2">
        <f t="shared" si="28"/>
        <v>490</v>
      </c>
      <c r="P36" s="2">
        <f t="shared" si="0"/>
        <v>50354.85645620001</v>
      </c>
      <c r="Q36" s="2">
        <f t="shared" si="29"/>
        <v>2001.766002212599</v>
      </c>
      <c r="R36" s="3">
        <f t="shared" si="30"/>
        <v>166.81383351771657</v>
      </c>
      <c r="S36" s="8">
        <f t="shared" si="31"/>
        <v>133.49354907991042</v>
      </c>
      <c r="U36" s="11">
        <f t="shared" si="10"/>
        <v>2600</v>
      </c>
      <c r="V36" s="7">
        <f t="shared" si="11"/>
        <v>166.81383351771657</v>
      </c>
      <c r="W36" s="7">
        <f t="shared" si="12"/>
        <v>133.49354907991042</v>
      </c>
    </row>
    <row r="37" spans="2:23" ht="18.75" x14ac:dyDescent="0.25">
      <c r="B37" s="1">
        <v>2700</v>
      </c>
      <c r="C37" s="1">
        <v>2732</v>
      </c>
      <c r="D37" s="2">
        <f t="shared" si="24"/>
        <v>8586.2855971999998</v>
      </c>
      <c r="E37" s="2">
        <v>300</v>
      </c>
      <c r="F37" s="2">
        <v>16</v>
      </c>
      <c r="G37" s="2">
        <f t="shared" si="25"/>
        <v>2767</v>
      </c>
      <c r="H37" s="2">
        <f t="shared" si="26"/>
        <v>8696.2855957000011</v>
      </c>
      <c r="I37" s="2">
        <v>140</v>
      </c>
      <c r="J37" s="2">
        <v>20</v>
      </c>
      <c r="K37" s="2">
        <f t="shared" si="15"/>
        <v>2812</v>
      </c>
      <c r="L37" s="2">
        <f t="shared" si="27"/>
        <v>8837.7141652000009</v>
      </c>
      <c r="M37" s="2">
        <v>50</v>
      </c>
      <c r="N37" s="2">
        <v>8</v>
      </c>
      <c r="O37" s="2">
        <f t="shared" si="28"/>
        <v>490</v>
      </c>
      <c r="P37" s="2">
        <f t="shared" si="0"/>
        <v>52240.570716200004</v>
      </c>
      <c r="Q37" s="2">
        <f t="shared" si="29"/>
        <v>2076.0067211102364</v>
      </c>
      <c r="R37" s="3">
        <f t="shared" si="30"/>
        <v>173.00056009251969</v>
      </c>
      <c r="S37" s="8">
        <f t="shared" si="31"/>
        <v>138.49268336077085</v>
      </c>
      <c r="U37" s="11">
        <f t="shared" si="10"/>
        <v>2700</v>
      </c>
      <c r="V37" s="7">
        <f t="shared" si="11"/>
        <v>173.00056009251969</v>
      </c>
      <c r="W37" s="7">
        <f t="shared" si="12"/>
        <v>138.49268336077085</v>
      </c>
    </row>
    <row r="38" spans="2:23" ht="18.75" x14ac:dyDescent="0.25">
      <c r="B38" s="1">
        <v>2800</v>
      </c>
      <c r="C38" s="1">
        <v>2832</v>
      </c>
      <c r="D38" s="2">
        <f t="shared" si="24"/>
        <v>8900.5713071999999</v>
      </c>
      <c r="E38" s="2">
        <v>300</v>
      </c>
      <c r="F38" s="2">
        <v>16</v>
      </c>
      <c r="G38" s="2">
        <f t="shared" si="25"/>
        <v>2867</v>
      </c>
      <c r="H38" s="2">
        <f t="shared" si="26"/>
        <v>9010.5713056999994</v>
      </c>
      <c r="I38" s="2">
        <v>140</v>
      </c>
      <c r="J38" s="2">
        <v>22</v>
      </c>
      <c r="K38" s="2">
        <f t="shared" si="15"/>
        <v>2916</v>
      </c>
      <c r="L38" s="2">
        <f t="shared" si="27"/>
        <v>9164.5713035999997</v>
      </c>
      <c r="M38" s="2">
        <v>50</v>
      </c>
      <c r="N38" s="2">
        <v>8</v>
      </c>
      <c r="O38" s="2">
        <f t="shared" si="28"/>
        <v>490</v>
      </c>
      <c r="P38" s="2">
        <f t="shared" si="0"/>
        <v>54151.427832999994</v>
      </c>
      <c r="Q38" s="2">
        <f t="shared" si="29"/>
        <v>2151.2373162598424</v>
      </c>
      <c r="R38" s="3">
        <f t="shared" si="30"/>
        <v>179.26977635498687</v>
      </c>
      <c r="S38" s="8">
        <f t="shared" si="31"/>
        <v>143.55847276537611</v>
      </c>
      <c r="U38" s="11">
        <f t="shared" si="10"/>
        <v>2800</v>
      </c>
      <c r="V38" s="7">
        <f t="shared" si="11"/>
        <v>179.26977635498687</v>
      </c>
      <c r="W38" s="7">
        <f t="shared" si="12"/>
        <v>143.55847276537611</v>
      </c>
    </row>
    <row r="39" spans="2:23" ht="18.75" x14ac:dyDescent="0.25">
      <c r="B39" s="1">
        <v>2900</v>
      </c>
      <c r="C39" s="1">
        <v>2932</v>
      </c>
      <c r="D39" s="2">
        <f t="shared" si="24"/>
        <v>9214.8570172</v>
      </c>
      <c r="E39" s="2">
        <v>350</v>
      </c>
      <c r="F39" s="2">
        <v>16</v>
      </c>
      <c r="G39" s="2">
        <f t="shared" si="25"/>
        <v>2967</v>
      </c>
      <c r="H39" s="2">
        <f t="shared" si="26"/>
        <v>9324.8570156999995</v>
      </c>
      <c r="I39" s="2">
        <v>140</v>
      </c>
      <c r="J39" s="2">
        <v>24</v>
      </c>
      <c r="K39" s="2">
        <f t="shared" si="15"/>
        <v>3020</v>
      </c>
      <c r="L39" s="2">
        <f t="shared" si="27"/>
        <v>9491.4284420000004</v>
      </c>
      <c r="M39" s="2">
        <v>50</v>
      </c>
      <c r="N39" s="2">
        <v>8</v>
      </c>
      <c r="O39" s="2">
        <f t="shared" si="28"/>
        <v>540</v>
      </c>
      <c r="P39" s="2">
        <f t="shared" si="0"/>
        <v>56062.2849498</v>
      </c>
      <c r="Q39" s="2">
        <f t="shared" si="29"/>
        <v>2228.4364153464567</v>
      </c>
      <c r="R39" s="3">
        <f t="shared" si="30"/>
        <v>185.70303461220473</v>
      </c>
      <c r="S39" s="8">
        <f t="shared" si="31"/>
        <v>163.7900032077346</v>
      </c>
      <c r="U39" s="11">
        <f t="shared" si="10"/>
        <v>2900</v>
      </c>
      <c r="V39" s="7">
        <f t="shared" si="11"/>
        <v>185.70303461220473</v>
      </c>
      <c r="W39" s="7">
        <f t="shared" si="12"/>
        <v>163.7900032077346</v>
      </c>
    </row>
    <row r="40" spans="2:23" ht="18.75" x14ac:dyDescent="0.25">
      <c r="B40" s="1">
        <v>3000</v>
      </c>
      <c r="C40" s="1">
        <v>3032</v>
      </c>
      <c r="D40" s="2">
        <f t="shared" si="24"/>
        <v>9529.1427272000001</v>
      </c>
      <c r="E40" s="2">
        <v>350</v>
      </c>
      <c r="F40" s="2">
        <v>16</v>
      </c>
      <c r="G40" s="2">
        <f t="shared" si="25"/>
        <v>3067</v>
      </c>
      <c r="H40" s="2">
        <f t="shared" si="26"/>
        <v>9639.1427256999996</v>
      </c>
      <c r="I40" s="2">
        <v>140</v>
      </c>
      <c r="J40" s="2">
        <v>24</v>
      </c>
      <c r="K40" s="2">
        <f t="shared" si="15"/>
        <v>3120</v>
      </c>
      <c r="L40" s="2">
        <f t="shared" si="27"/>
        <v>9805.7141520000005</v>
      </c>
      <c r="M40" s="2">
        <v>50</v>
      </c>
      <c r="N40" s="2">
        <v>8</v>
      </c>
      <c r="O40" s="2">
        <f t="shared" si="28"/>
        <v>540</v>
      </c>
      <c r="P40" s="2">
        <f>(D40+H40+L40)*2</f>
        <v>57947.9992098</v>
      </c>
      <c r="Q40" s="2">
        <f t="shared" si="29"/>
        <v>2302.6771342440948</v>
      </c>
      <c r="R40" s="3">
        <f t="shared" si="30"/>
        <v>191.88976118700791</v>
      </c>
      <c r="S40" s="8">
        <f t="shared" si="31"/>
        <v>169.29925323153998</v>
      </c>
      <c r="U40" s="11">
        <f t="shared" si="10"/>
        <v>3000</v>
      </c>
      <c r="V40" s="7">
        <f t="shared" si="11"/>
        <v>191.88976118700791</v>
      </c>
      <c r="W40" s="7">
        <f t="shared" si="12"/>
        <v>169.29925323153998</v>
      </c>
    </row>
    <row r="41" spans="2:23" x14ac:dyDescent="0.25">
      <c r="U41" s="11"/>
      <c r="V41" s="7"/>
      <c r="W41" s="12"/>
    </row>
  </sheetData>
  <mergeCells count="5">
    <mergeCell ref="J2:K2"/>
    <mergeCell ref="L2:N2"/>
    <mergeCell ref="B1:R1"/>
    <mergeCell ref="U2:W2"/>
    <mergeCell ref="U1:W1"/>
  </mergeCells>
  <pageMargins left="0.7" right="0.7" top="0.75" bottom="0.75" header="0.3" footer="0.3"/>
  <pageSetup paperSize="9" scale="52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Precise Engineers</cp:lastModifiedBy>
  <cp:lastPrinted>2019-11-14T07:36:02Z</cp:lastPrinted>
  <dcterms:created xsi:type="dcterms:W3CDTF">2019-10-22T03:53:17Z</dcterms:created>
  <dcterms:modified xsi:type="dcterms:W3CDTF">2026-07-27T05:03:32Z</dcterms:modified>
</cp:coreProperties>
</file>