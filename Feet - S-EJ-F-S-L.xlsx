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PESERVER\Design\OLD DESIGN 10-11\AI Developlment Swayam Singh\Master files\"/>
    </mc:Choice>
  </mc:AlternateContent>
  <xr:revisionPtr revIDLastSave="0" documentId="8_{FFBF3654-C8DC-40CF-82B7-512FF2F4F57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1" i="1" l="1"/>
  <c r="N41" i="1"/>
  <c r="L41" i="1"/>
  <c r="J41" i="1"/>
  <c r="D41" i="1"/>
  <c r="V40" i="1"/>
  <c r="N40" i="1"/>
  <c r="L40" i="1"/>
  <c r="J40" i="1"/>
  <c r="D40" i="1"/>
  <c r="V39" i="1"/>
  <c r="N39" i="1"/>
  <c r="L39" i="1"/>
  <c r="J39" i="1"/>
  <c r="D39" i="1"/>
  <c r="V38" i="1"/>
  <c r="N38" i="1"/>
  <c r="L38" i="1"/>
  <c r="J38" i="1"/>
  <c r="D38" i="1"/>
  <c r="V37" i="1"/>
  <c r="N37" i="1"/>
  <c r="L37" i="1"/>
  <c r="J37" i="1"/>
  <c r="D37" i="1"/>
  <c r="V36" i="1"/>
  <c r="N36" i="1"/>
  <c r="L36" i="1"/>
  <c r="J36" i="1"/>
  <c r="D36" i="1"/>
  <c r="V35" i="1"/>
  <c r="N35" i="1"/>
  <c r="L35" i="1"/>
  <c r="J35" i="1"/>
  <c r="D35" i="1"/>
  <c r="V34" i="1"/>
  <c r="N34" i="1"/>
  <c r="L34" i="1"/>
  <c r="J34" i="1"/>
  <c r="D34" i="1"/>
  <c r="V33" i="1"/>
  <c r="N33" i="1"/>
  <c r="L33" i="1"/>
  <c r="J33" i="1"/>
  <c r="D33" i="1"/>
  <c r="V32" i="1"/>
  <c r="N32" i="1"/>
  <c r="L32" i="1"/>
  <c r="J32" i="1"/>
  <c r="D32" i="1"/>
  <c r="V31" i="1"/>
  <c r="N31" i="1"/>
  <c r="L31" i="1"/>
  <c r="J31" i="1"/>
  <c r="D31" i="1"/>
  <c r="V30" i="1"/>
  <c r="N30" i="1"/>
  <c r="L30" i="1"/>
  <c r="J30" i="1"/>
  <c r="D30" i="1"/>
  <c r="V29" i="1"/>
  <c r="N29" i="1"/>
  <c r="L29" i="1"/>
  <c r="J29" i="1"/>
  <c r="D29" i="1"/>
  <c r="V28" i="1"/>
  <c r="N28" i="1"/>
  <c r="L28" i="1"/>
  <c r="J28" i="1"/>
  <c r="D28" i="1"/>
  <c r="V27" i="1"/>
  <c r="N27" i="1"/>
  <c r="L27" i="1"/>
  <c r="J27" i="1"/>
  <c r="D27" i="1"/>
  <c r="AC26" i="1"/>
  <c r="D26" i="1"/>
  <c r="V25" i="1"/>
  <c r="N25" i="1"/>
  <c r="L25" i="1"/>
  <c r="K25" i="1"/>
  <c r="AC25" i="1" s="1"/>
  <c r="J25" i="1"/>
  <c r="D25" i="1"/>
  <c r="M25" i="1" s="1"/>
  <c r="V24" i="1"/>
  <c r="N24" i="1"/>
  <c r="L24" i="1"/>
  <c r="K24" i="1"/>
  <c r="J24" i="1"/>
  <c r="D24" i="1"/>
  <c r="M24" i="1" s="1"/>
  <c r="V23" i="1"/>
  <c r="N23" i="1"/>
  <c r="L23" i="1"/>
  <c r="K23" i="1"/>
  <c r="AC23" i="1" s="1"/>
  <c r="J23" i="1"/>
  <c r="D23" i="1"/>
  <c r="M23" i="1" s="1"/>
  <c r="V22" i="1"/>
  <c r="O22" i="1"/>
  <c r="Q22" i="1" s="1"/>
  <c r="N22" i="1"/>
  <c r="L22" i="1"/>
  <c r="K22" i="1"/>
  <c r="AC22" i="1" s="1"/>
  <c r="J22" i="1"/>
  <c r="D22" i="1"/>
  <c r="M22" i="1" s="1"/>
  <c r="V21" i="1"/>
  <c r="O21" i="1"/>
  <c r="Q21" i="1" s="1"/>
  <c r="W21" i="1" s="1"/>
  <c r="X21" i="1" s="1"/>
  <c r="N21" i="1"/>
  <c r="L21" i="1"/>
  <c r="P21" i="1" s="1"/>
  <c r="R21" i="1" s="1"/>
  <c r="Y21" i="1" s="1"/>
  <c r="K21" i="1"/>
  <c r="AC21" i="1" s="1"/>
  <c r="J21" i="1"/>
  <c r="D21" i="1"/>
  <c r="M21" i="1" s="1"/>
  <c r="V20" i="1"/>
  <c r="O20" i="1"/>
  <c r="Q20" i="1" s="1"/>
  <c r="W20" i="1" s="1"/>
  <c r="X20" i="1" s="1"/>
  <c r="N20" i="1"/>
  <c r="L20" i="1"/>
  <c r="P20" i="1" s="1"/>
  <c r="R20" i="1" s="1"/>
  <c r="Y20" i="1" s="1"/>
  <c r="K20" i="1"/>
  <c r="AC20" i="1" s="1"/>
  <c r="J20" i="1"/>
  <c r="D20" i="1"/>
  <c r="M20" i="1" s="1"/>
  <c r="V19" i="1"/>
  <c r="O19" i="1"/>
  <c r="Q19" i="1" s="1"/>
  <c r="W19" i="1" s="1"/>
  <c r="X19" i="1" s="1"/>
  <c r="N19" i="1"/>
  <c r="L19" i="1"/>
  <c r="P19" i="1" s="1"/>
  <c r="R19" i="1" s="1"/>
  <c r="Y19" i="1" s="1"/>
  <c r="K19" i="1"/>
  <c r="AC19" i="1" s="1"/>
  <c r="J19" i="1"/>
  <c r="D19" i="1"/>
  <c r="M19" i="1" s="1"/>
  <c r="V18" i="1"/>
  <c r="O18" i="1"/>
  <c r="Q18" i="1" s="1"/>
  <c r="W18" i="1" s="1"/>
  <c r="X18" i="1" s="1"/>
  <c r="N18" i="1"/>
  <c r="L18" i="1"/>
  <c r="P18" i="1" s="1"/>
  <c r="R18" i="1" s="1"/>
  <c r="Y18" i="1" s="1"/>
  <c r="K18" i="1"/>
  <c r="AC18" i="1" s="1"/>
  <c r="J18" i="1"/>
  <c r="D18" i="1"/>
  <c r="M18" i="1" s="1"/>
  <c r="V17" i="1"/>
  <c r="O17" i="1"/>
  <c r="Q17" i="1" s="1"/>
  <c r="W17" i="1" s="1"/>
  <c r="X17" i="1" s="1"/>
  <c r="N17" i="1"/>
  <c r="L17" i="1"/>
  <c r="P17" i="1" s="1"/>
  <c r="R17" i="1" s="1"/>
  <c r="Y17" i="1" s="1"/>
  <c r="K17" i="1"/>
  <c r="AC17" i="1" s="1"/>
  <c r="J17" i="1"/>
  <c r="D17" i="1"/>
  <c r="M17" i="1" s="1"/>
  <c r="V16" i="1"/>
  <c r="O16" i="1"/>
  <c r="Q16" i="1" s="1"/>
  <c r="W16" i="1" s="1"/>
  <c r="X16" i="1" s="1"/>
  <c r="N16" i="1"/>
  <c r="L16" i="1"/>
  <c r="P16" i="1" s="1"/>
  <c r="R16" i="1" s="1"/>
  <c r="Y16" i="1" s="1"/>
  <c r="K16" i="1"/>
  <c r="AC16" i="1" s="1"/>
  <c r="J16" i="1"/>
  <c r="D16" i="1"/>
  <c r="M16" i="1" s="1"/>
  <c r="V15" i="1"/>
  <c r="O15" i="1"/>
  <c r="Q15" i="1" s="1"/>
  <c r="W15" i="1" s="1"/>
  <c r="X15" i="1" s="1"/>
  <c r="N15" i="1"/>
  <c r="L15" i="1"/>
  <c r="P15" i="1" s="1"/>
  <c r="R15" i="1" s="1"/>
  <c r="Y15" i="1" s="1"/>
  <c r="K15" i="1"/>
  <c r="AC15" i="1" s="1"/>
  <c r="J15" i="1"/>
  <c r="D15" i="1"/>
  <c r="M15" i="1" s="1"/>
  <c r="V14" i="1"/>
  <c r="O14" i="1"/>
  <c r="Q14" i="1" s="1"/>
  <c r="W14" i="1" s="1"/>
  <c r="X14" i="1" s="1"/>
  <c r="N14" i="1"/>
  <c r="L14" i="1"/>
  <c r="P14" i="1" s="1"/>
  <c r="R14" i="1" s="1"/>
  <c r="Y14" i="1" s="1"/>
  <c r="K14" i="1"/>
  <c r="AC14" i="1" s="1"/>
  <c r="J14" i="1"/>
  <c r="D14" i="1"/>
  <c r="M14" i="1" s="1"/>
  <c r="V13" i="1"/>
  <c r="N13" i="1"/>
  <c r="M13" i="1"/>
  <c r="P13" i="1" s="1"/>
  <c r="R13" i="1" s="1"/>
  <c r="Y13" i="1" s="1"/>
  <c r="J13" i="1"/>
  <c r="D13" i="1"/>
  <c r="K13" i="1" s="1"/>
  <c r="AC13" i="1" s="1"/>
  <c r="V12" i="1"/>
  <c r="N12" i="1"/>
  <c r="J12" i="1"/>
  <c r="D12" i="1"/>
  <c r="V11" i="1"/>
  <c r="N11" i="1"/>
  <c r="M11" i="1"/>
  <c r="J11" i="1"/>
  <c r="O11" i="1" s="1"/>
  <c r="Q11" i="1" s="1"/>
  <c r="D11" i="1"/>
  <c r="K11" i="1" s="1"/>
  <c r="AC11" i="1" s="1"/>
  <c r="V10" i="1"/>
  <c r="N10" i="1"/>
  <c r="J10" i="1"/>
  <c r="D10" i="1"/>
  <c r="M10" i="1" s="1"/>
  <c r="P10" i="1" s="1"/>
  <c r="R10" i="1" s="1"/>
  <c r="Y10" i="1" s="1"/>
  <c r="Y9" i="1"/>
  <c r="V9" i="1"/>
  <c r="P9" i="1"/>
  <c r="R9" i="1" s="1"/>
  <c r="N9" i="1"/>
  <c r="M9" i="1"/>
  <c r="K9" i="1"/>
  <c r="AC9" i="1" s="1"/>
  <c r="J9" i="1"/>
  <c r="O9" i="1" s="1"/>
  <c r="Q9" i="1" s="1"/>
  <c r="D9" i="1"/>
  <c r="V8" i="1"/>
  <c r="N8" i="1"/>
  <c r="J8" i="1"/>
  <c r="D8" i="1"/>
  <c r="M8" i="1" s="1"/>
  <c r="P8" i="1" s="1"/>
  <c r="R8" i="1" s="1"/>
  <c r="Y8" i="1" s="1"/>
  <c r="V7" i="1"/>
  <c r="N7" i="1"/>
  <c r="M7" i="1"/>
  <c r="P7" i="1" s="1"/>
  <c r="R7" i="1" s="1"/>
  <c r="Y7" i="1" s="1"/>
  <c r="J7" i="1"/>
  <c r="D7" i="1"/>
  <c r="K7" i="1" s="1"/>
  <c r="AC7" i="1" s="1"/>
  <c r="V6" i="1"/>
  <c r="N6" i="1"/>
  <c r="K6" i="1"/>
  <c r="AC6" i="1" s="1"/>
  <c r="J6" i="1"/>
  <c r="O6" i="1" s="1"/>
  <c r="Q6" i="1" s="1"/>
  <c r="D6" i="1"/>
  <c r="M6" i="1" s="1"/>
  <c r="P6" i="1" s="1"/>
  <c r="R6" i="1" s="1"/>
  <c r="Y6" i="1" s="1"/>
  <c r="V5" i="1"/>
  <c r="N5" i="1"/>
  <c r="M5" i="1"/>
  <c r="P5" i="1" s="1"/>
  <c r="R5" i="1" s="1"/>
  <c r="Y5" i="1" s="1"/>
  <c r="K5" i="1"/>
  <c r="AC5" i="1" s="1"/>
  <c r="J5" i="1"/>
  <c r="O5" i="1" s="1"/>
  <c r="Q5" i="1" s="1"/>
  <c r="D5" i="1"/>
  <c r="V4" i="1"/>
  <c r="N4" i="1"/>
  <c r="J4" i="1"/>
  <c r="D4" i="1"/>
  <c r="M4" i="1" s="1"/>
  <c r="P4" i="1" s="1"/>
  <c r="R4" i="1" s="1"/>
  <c r="Y4" i="1" s="1"/>
  <c r="Z6" i="1" l="1"/>
  <c r="S6" i="1"/>
  <c r="T6" i="1" s="1"/>
  <c r="W6" i="1"/>
  <c r="X6" i="1" s="1"/>
  <c r="Z4" i="1"/>
  <c r="O7" i="1"/>
  <c r="Q7" i="1" s="1"/>
  <c r="Z8" i="1"/>
  <c r="Z10" i="1"/>
  <c r="AB21" i="1"/>
  <c r="W5" i="1"/>
  <c r="X5" i="1" s="1"/>
  <c r="S5" i="1"/>
  <c r="T5" i="1" s="1"/>
  <c r="Z7" i="1"/>
  <c r="W9" i="1"/>
  <c r="X9" i="1" s="1"/>
  <c r="S9" i="1"/>
  <c r="T9" i="1" s="1"/>
  <c r="W11" i="1"/>
  <c r="X11" i="1" s="1"/>
  <c r="AB19" i="1"/>
  <c r="Z5" i="1"/>
  <c r="Z13" i="1"/>
  <c r="AA19" i="1"/>
  <c r="Z19" i="1"/>
  <c r="AA21" i="1"/>
  <c r="Z21" i="1"/>
  <c r="W22" i="1"/>
  <c r="X22" i="1" s="1"/>
  <c r="K30" i="1"/>
  <c r="AC30" i="1" s="1"/>
  <c r="M30" i="1"/>
  <c r="K34" i="1"/>
  <c r="AC34" i="1" s="1"/>
  <c r="M34" i="1"/>
  <c r="K38" i="1"/>
  <c r="M38" i="1"/>
  <c r="Z9" i="1"/>
  <c r="P11" i="1"/>
  <c r="R11" i="1" s="1"/>
  <c r="Y11" i="1" s="1"/>
  <c r="S14" i="1"/>
  <c r="T14" i="1" s="1"/>
  <c r="S16" i="1"/>
  <c r="T16" i="1" s="1"/>
  <c r="S18" i="1"/>
  <c r="T18" i="1" s="1"/>
  <c r="S20" i="1"/>
  <c r="T20" i="1" s="1"/>
  <c r="K27" i="1"/>
  <c r="AC27" i="1" s="1"/>
  <c r="M27" i="1"/>
  <c r="P27" i="1" s="1"/>
  <c r="R27" i="1" s="1"/>
  <c r="Y27" i="1" s="1"/>
  <c r="K31" i="1"/>
  <c r="AC31" i="1" s="1"/>
  <c r="M31" i="1"/>
  <c r="P31" i="1" s="1"/>
  <c r="R31" i="1" s="1"/>
  <c r="Y31" i="1" s="1"/>
  <c r="K35" i="1"/>
  <c r="AC35" i="1" s="1"/>
  <c r="M35" i="1"/>
  <c r="P35" i="1" s="1"/>
  <c r="R35" i="1" s="1"/>
  <c r="Y35" i="1" s="1"/>
  <c r="K39" i="1"/>
  <c r="M39" i="1"/>
  <c r="P39" i="1" s="1"/>
  <c r="R39" i="1" s="1"/>
  <c r="Y39" i="1" s="1"/>
  <c r="O12" i="1"/>
  <c r="Q12" i="1" s="1"/>
  <c r="AA17" i="1"/>
  <c r="Z17" i="1"/>
  <c r="AB17" i="1" s="1"/>
  <c r="O13" i="1"/>
  <c r="Q13" i="1" s="1"/>
  <c r="AA14" i="1"/>
  <c r="Z14" i="1"/>
  <c r="AB14" i="1" s="1"/>
  <c r="AA16" i="1"/>
  <c r="Z16" i="1"/>
  <c r="AB16" i="1" s="1"/>
  <c r="AA18" i="1"/>
  <c r="Z18" i="1"/>
  <c r="AB18" i="1" s="1"/>
  <c r="AA20" i="1"/>
  <c r="Z20" i="1"/>
  <c r="AB20" i="1" s="1"/>
  <c r="K28" i="1"/>
  <c r="AC28" i="1" s="1"/>
  <c r="M28" i="1"/>
  <c r="K32" i="1"/>
  <c r="AC32" i="1" s="1"/>
  <c r="M32" i="1"/>
  <c r="P32" i="1" s="1"/>
  <c r="R32" i="1" s="1"/>
  <c r="Y32" i="1" s="1"/>
  <c r="K36" i="1"/>
  <c r="AC36" i="1" s="1"/>
  <c r="M36" i="1"/>
  <c r="K40" i="1"/>
  <c r="M40" i="1"/>
  <c r="P40" i="1" s="1"/>
  <c r="R40" i="1" s="1"/>
  <c r="Y40" i="1" s="1"/>
  <c r="AA15" i="1"/>
  <c r="Z15" i="1"/>
  <c r="AB15" i="1" s="1"/>
  <c r="K4" i="1"/>
  <c r="AC4" i="1" s="1"/>
  <c r="K8" i="1"/>
  <c r="K10" i="1"/>
  <c r="AC10" i="1" s="1"/>
  <c r="M12" i="1"/>
  <c r="P12" i="1" s="1"/>
  <c r="R12" i="1" s="1"/>
  <c r="Y12" i="1" s="1"/>
  <c r="K12" i="1"/>
  <c r="AC12" i="1" s="1"/>
  <c r="S15" i="1"/>
  <c r="T15" i="1" s="1"/>
  <c r="S17" i="1"/>
  <c r="T17" i="1" s="1"/>
  <c r="S19" i="1"/>
  <c r="T19" i="1" s="1"/>
  <c r="S21" i="1"/>
  <c r="T21" i="1" s="1"/>
  <c r="AC24" i="1"/>
  <c r="O24" i="1"/>
  <c r="Q24" i="1" s="1"/>
  <c r="K29" i="1"/>
  <c r="AC29" i="1" s="1"/>
  <c r="M29" i="1"/>
  <c r="K33" i="1"/>
  <c r="AC33" i="1" s="1"/>
  <c r="M33" i="1"/>
  <c r="P33" i="1" s="1"/>
  <c r="R33" i="1" s="1"/>
  <c r="Y33" i="1" s="1"/>
  <c r="K37" i="1"/>
  <c r="AC37" i="1" s="1"/>
  <c r="M37" i="1"/>
  <c r="K41" i="1"/>
  <c r="M41" i="1"/>
  <c r="P41" i="1" s="1"/>
  <c r="R41" i="1" s="1"/>
  <c r="Y41" i="1" s="1"/>
  <c r="P22" i="1"/>
  <c r="R22" i="1" s="1"/>
  <c r="Y22" i="1" s="1"/>
  <c r="O23" i="1"/>
  <c r="Q23" i="1" s="1"/>
  <c r="P24" i="1"/>
  <c r="R24" i="1" s="1"/>
  <c r="Y24" i="1" s="1"/>
  <c r="O25" i="1"/>
  <c r="Q25" i="1" s="1"/>
  <c r="O27" i="1"/>
  <c r="Q27" i="1" s="1"/>
  <c r="O29" i="1"/>
  <c r="Q29" i="1" s="1"/>
  <c r="O31" i="1"/>
  <c r="Q31" i="1" s="1"/>
  <c r="O32" i="1"/>
  <c r="Q32" i="1" s="1"/>
  <c r="O33" i="1"/>
  <c r="Q33" i="1" s="1"/>
  <c r="O35" i="1"/>
  <c r="Q35" i="1" s="1"/>
  <c r="O37" i="1"/>
  <c r="Q37" i="1" s="1"/>
  <c r="P28" i="1"/>
  <c r="R28" i="1" s="1"/>
  <c r="Y28" i="1" s="1"/>
  <c r="P29" i="1"/>
  <c r="R29" i="1" s="1"/>
  <c r="Y29" i="1" s="1"/>
  <c r="P30" i="1"/>
  <c r="R30" i="1" s="1"/>
  <c r="Y30" i="1" s="1"/>
  <c r="P34" i="1"/>
  <c r="R34" i="1" s="1"/>
  <c r="Y34" i="1" s="1"/>
  <c r="P36" i="1"/>
  <c r="R36" i="1" s="1"/>
  <c r="Y36" i="1" s="1"/>
  <c r="P37" i="1"/>
  <c r="R37" i="1" s="1"/>
  <c r="Y37" i="1" s="1"/>
  <c r="P38" i="1"/>
  <c r="R38" i="1" s="1"/>
  <c r="Y38" i="1" s="1"/>
  <c r="P23" i="1"/>
  <c r="R23" i="1" s="1"/>
  <c r="Y23" i="1" s="1"/>
  <c r="P25" i="1"/>
  <c r="R25" i="1" s="1"/>
  <c r="Y25" i="1" s="1"/>
  <c r="Z35" i="1" l="1"/>
  <c r="Z27" i="1"/>
  <c r="Z41" i="1"/>
  <c r="Z33" i="1"/>
  <c r="Z40" i="1"/>
  <c r="Z32" i="1"/>
  <c r="Z39" i="1"/>
  <c r="Z31" i="1"/>
  <c r="Z23" i="1"/>
  <c r="Z30" i="1"/>
  <c r="S29" i="1"/>
  <c r="T29" i="1" s="1"/>
  <c r="W29" i="1"/>
  <c r="X29" i="1" s="1"/>
  <c r="AB29" i="1" s="1"/>
  <c r="AC41" i="1"/>
  <c r="O41" i="1"/>
  <c r="Q41" i="1" s="1"/>
  <c r="W13" i="1"/>
  <c r="S13" i="1"/>
  <c r="T13" i="1" s="1"/>
  <c r="AA11" i="1"/>
  <c r="Z11" i="1"/>
  <c r="AB11" i="1" s="1"/>
  <c r="AC38" i="1"/>
  <c r="O38" i="1"/>
  <c r="Q38" i="1" s="1"/>
  <c r="S11" i="1"/>
  <c r="T11" i="1" s="1"/>
  <c r="AA37" i="1"/>
  <c r="Z37" i="1"/>
  <c r="AA29" i="1"/>
  <c r="Z29" i="1"/>
  <c r="O36" i="1"/>
  <c r="Q36" i="1" s="1"/>
  <c r="S32" i="1"/>
  <c r="T32" i="1" s="1"/>
  <c r="W32" i="1"/>
  <c r="X32" i="1" s="1"/>
  <c r="AB32" i="1" s="1"/>
  <c r="O28" i="1"/>
  <c r="Q28" i="1" s="1"/>
  <c r="W23" i="1"/>
  <c r="X23" i="1" s="1"/>
  <c r="S23" i="1"/>
  <c r="T23" i="1" s="1"/>
  <c r="AC40" i="1"/>
  <c r="O40" i="1"/>
  <c r="Q40" i="1" s="1"/>
  <c r="AC39" i="1"/>
  <c r="O39" i="1"/>
  <c r="Q39" i="1" s="1"/>
  <c r="O10" i="1"/>
  <c r="Q10" i="1" s="1"/>
  <c r="AA9" i="1"/>
  <c r="Z34" i="1"/>
  <c r="S33" i="1"/>
  <c r="T33" i="1" s="1"/>
  <c r="W33" i="1"/>
  <c r="X33" i="1" s="1"/>
  <c r="AB33" i="1" s="1"/>
  <c r="Z36" i="1"/>
  <c r="Z28" i="1"/>
  <c r="S31" i="1"/>
  <c r="T31" i="1" s="1"/>
  <c r="W31" i="1"/>
  <c r="X31" i="1" s="1"/>
  <c r="AB31" i="1" s="1"/>
  <c r="AA22" i="1"/>
  <c r="Z22" i="1"/>
  <c r="AB22" i="1" s="1"/>
  <c r="Z12" i="1"/>
  <c r="AA12" i="1"/>
  <c r="S22" i="1"/>
  <c r="T22" i="1" s="1"/>
  <c r="AB9" i="1"/>
  <c r="AB5" i="1"/>
  <c r="W7" i="1"/>
  <c r="S7" i="1"/>
  <c r="T7" i="1" s="1"/>
  <c r="Z38" i="1"/>
  <c r="S37" i="1"/>
  <c r="T37" i="1" s="1"/>
  <c r="W37" i="1"/>
  <c r="X37" i="1" s="1"/>
  <c r="Z24" i="1"/>
  <c r="AC8" i="1"/>
  <c r="O8" i="1"/>
  <c r="Q8" i="1" s="1"/>
  <c r="S35" i="1"/>
  <c r="T35" i="1" s="1"/>
  <c r="W35" i="1"/>
  <c r="X35" i="1" s="1"/>
  <c r="S27" i="1"/>
  <c r="T27" i="1" s="1"/>
  <c r="W27" i="1"/>
  <c r="X27" i="1" s="1"/>
  <c r="Z25" i="1"/>
  <c r="O34" i="1"/>
  <c r="Q34" i="1" s="1"/>
  <c r="O30" i="1"/>
  <c r="Q30" i="1" s="1"/>
  <c r="W25" i="1"/>
  <c r="X25" i="1" s="1"/>
  <c r="AB25" i="1" s="1"/>
  <c r="S25" i="1"/>
  <c r="T25" i="1" s="1"/>
  <c r="W24" i="1"/>
  <c r="X24" i="1" s="1"/>
  <c r="AB24" i="1" s="1"/>
  <c r="S24" i="1"/>
  <c r="T24" i="1" s="1"/>
  <c r="S12" i="1"/>
  <c r="T12" i="1" s="1"/>
  <c r="W12" i="1"/>
  <c r="X12" i="1" s="1"/>
  <c r="AB12" i="1" s="1"/>
  <c r="AA5" i="1"/>
  <c r="O4" i="1"/>
  <c r="Q4" i="1" s="1"/>
  <c r="AB6" i="1"/>
  <c r="AA6" i="1"/>
  <c r="W4" i="1" l="1"/>
  <c r="S4" i="1"/>
  <c r="T4" i="1" s="1"/>
  <c r="AA25" i="1"/>
  <c r="AA24" i="1"/>
  <c r="AB23" i="1"/>
  <c r="S36" i="1"/>
  <c r="T36" i="1" s="1"/>
  <c r="W36" i="1"/>
  <c r="S41" i="1"/>
  <c r="T41" i="1" s="1"/>
  <c r="W41" i="1"/>
  <c r="S30" i="1"/>
  <c r="T30" i="1" s="1"/>
  <c r="W30" i="1"/>
  <c r="AB27" i="1"/>
  <c r="S8" i="1"/>
  <c r="T8" i="1" s="1"/>
  <c r="W8" i="1"/>
  <c r="AB37" i="1"/>
  <c r="S40" i="1"/>
  <c r="T40" i="1" s="1"/>
  <c r="W40" i="1"/>
  <c r="S28" i="1"/>
  <c r="T28" i="1" s="1"/>
  <c r="W28" i="1"/>
  <c r="AA31" i="1"/>
  <c r="AA32" i="1"/>
  <c r="AA33" i="1"/>
  <c r="AA27" i="1"/>
  <c r="S34" i="1"/>
  <c r="T34" i="1" s="1"/>
  <c r="W34" i="1"/>
  <c r="X7" i="1"/>
  <c r="AB7" i="1" s="1"/>
  <c r="AA7" i="1"/>
  <c r="S10" i="1"/>
  <c r="T10" i="1" s="1"/>
  <c r="W10" i="1"/>
  <c r="S38" i="1"/>
  <c r="T38" i="1" s="1"/>
  <c r="W38" i="1"/>
  <c r="AB35" i="1"/>
  <c r="S39" i="1"/>
  <c r="T39" i="1" s="1"/>
  <c r="W39" i="1"/>
  <c r="X13" i="1"/>
  <c r="AB13" i="1" s="1"/>
  <c r="AA13" i="1"/>
  <c r="AA23" i="1"/>
  <c r="AA35" i="1"/>
  <c r="X38" i="1" l="1"/>
  <c r="AB38" i="1" s="1"/>
  <c r="AA38" i="1"/>
  <c r="X28" i="1"/>
  <c r="AB28" i="1" s="1"/>
  <c r="AA28" i="1"/>
  <c r="X30" i="1"/>
  <c r="AB30" i="1" s="1"/>
  <c r="AA30" i="1"/>
  <c r="X36" i="1"/>
  <c r="AB36" i="1" s="1"/>
  <c r="AA36" i="1"/>
  <c r="X39" i="1"/>
  <c r="AB39" i="1" s="1"/>
  <c r="AA39" i="1"/>
  <c r="X8" i="1"/>
  <c r="AB8" i="1" s="1"/>
  <c r="AA8" i="1"/>
  <c r="X10" i="1"/>
  <c r="AB10" i="1" s="1"/>
  <c r="AA10" i="1"/>
  <c r="X34" i="1"/>
  <c r="AB34" i="1" s="1"/>
  <c r="AA34" i="1"/>
  <c r="X40" i="1"/>
  <c r="AB40" i="1" s="1"/>
  <c r="AA40" i="1"/>
  <c r="X41" i="1"/>
  <c r="AB41" i="1" s="1"/>
  <c r="AA41" i="1"/>
  <c r="X4" i="1"/>
  <c r="AB4" i="1" s="1"/>
  <c r="AA4" i="1"/>
</calcChain>
</file>

<file path=xl/sharedStrings.xml><?xml version="1.0" encoding="utf-8"?>
<sst xmlns="http://schemas.openxmlformats.org/spreadsheetml/2006/main" count="41" uniqueCount="34">
  <si>
    <t>Size</t>
  </si>
  <si>
    <t>Pipe OD</t>
  </si>
  <si>
    <t>Circum</t>
  </si>
  <si>
    <t>Bellows L/s</t>
  </si>
  <si>
    <t>Pipe length</t>
  </si>
  <si>
    <t>Pipe thickness</t>
  </si>
  <si>
    <t>Lug</t>
  </si>
  <si>
    <t>width</t>
  </si>
  <si>
    <t>Tig</t>
  </si>
  <si>
    <t>Mig</t>
  </si>
  <si>
    <t>Pipe Ls</t>
  </si>
  <si>
    <t>Pipe to flange</t>
  </si>
  <si>
    <t>Lugs</t>
  </si>
  <si>
    <t>thk</t>
  </si>
  <si>
    <t>TIG</t>
  </si>
  <si>
    <t>Total</t>
  </si>
  <si>
    <t>MIG</t>
  </si>
  <si>
    <t>Inch</t>
  </si>
  <si>
    <t>Bellows to weldend + Sleeve to weldend</t>
  </si>
  <si>
    <t>Inch/size</t>
  </si>
  <si>
    <t>Feet/Size</t>
  </si>
  <si>
    <t>Total MM</t>
  </si>
  <si>
    <t>Single Bellows Total welding details in MM, Inch, Feet</t>
  </si>
  <si>
    <t>Bellows+collar+sleeve Long Seam</t>
  </si>
  <si>
    <t>TIG         (Inch)</t>
  </si>
  <si>
    <t>MIG       (Inch)</t>
  </si>
  <si>
    <t>TIG         (Feet)</t>
  </si>
  <si>
    <t>MIG       (Feet)</t>
  </si>
  <si>
    <t>Total      (Inch)</t>
  </si>
  <si>
    <t>FOR PRODUCTION SUPERVISOR</t>
  </si>
  <si>
    <t>Bellows Total welding details in Inch, Feet. ( Standard Bellows Single with IS 1538 Flanges and 3 Limit Rods)</t>
  </si>
  <si>
    <t>Total   welding   (Feet)</t>
  </si>
  <si>
    <t>A15-L1</t>
  </si>
  <si>
    <t>Drinding Sq. Feet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</si>
</sst>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3" fillId="0" borderId="0" xfId="0" applyFont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wrapText="1"/>
    </xf>
    <xf numFmtId="164" fontId="0" fillId="0" borderId="2" xfId="0" applyNumberFormat="1" applyBorder="1" applyAlignment="1">
      <alignment horizontal="center"/>
    </xf>
    <xf numFmtId="164" fontId="0" fillId="0" borderId="1" xfId="0" applyNumberFormat="1" applyBorder="1"/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41"/>
  <sheetViews>
    <sheetView tabSelected="1" topLeftCell="H1" workbookViewId="0">
      <pane ySplit="3" topLeftCell="A4" activePane="bottomLeft" state="frozen"/>
      <selection pane="bottomLeft" activeCell="AC21" sqref="AC21"/>
    </sheetView>
  </sheetViews>
  <sheetFormatPr defaultRowHeight="15" x14ac:dyDescent="0.25"/>
  <cols>
    <col min="4" max="4" width="9.42578125" customWidth="1"/>
    <col min="5" max="5" width="11.7109375" customWidth="1"/>
    <col min="6" max="6" width="12.140625" customWidth="1"/>
    <col min="7" max="7" width="14.85546875" customWidth="1"/>
    <col min="10" max="10" width="14.85546875" customWidth="1"/>
    <col min="11" max="11" width="19.7109375" customWidth="1"/>
    <col min="13" max="13" width="12.7109375" customWidth="1"/>
  </cols>
  <sheetData>
    <row r="1" spans="2:29" ht="26.25" customHeight="1" x14ac:dyDescent="0.25">
      <c r="B1" s="19" t="s">
        <v>22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V1" s="20" t="s">
        <v>29</v>
      </c>
      <c r="W1" s="21"/>
      <c r="X1" s="21"/>
      <c r="Y1" s="21"/>
      <c r="Z1" s="21"/>
      <c r="AA1" s="21"/>
      <c r="AB1" s="21"/>
      <c r="AC1" s="22"/>
    </row>
    <row r="2" spans="2:29" ht="48" customHeight="1" x14ac:dyDescent="0.3">
      <c r="B2" s="5"/>
      <c r="C2" s="5"/>
      <c r="D2" s="5"/>
      <c r="E2" s="5"/>
      <c r="F2" s="5"/>
      <c r="G2" s="5"/>
      <c r="H2" s="5" t="s">
        <v>6</v>
      </c>
      <c r="I2" s="5" t="s">
        <v>6</v>
      </c>
      <c r="J2" s="16" t="s">
        <v>8</v>
      </c>
      <c r="K2" s="17"/>
      <c r="L2" s="16" t="s">
        <v>9</v>
      </c>
      <c r="M2" s="18"/>
      <c r="N2" s="17"/>
      <c r="O2" s="5" t="s">
        <v>14</v>
      </c>
      <c r="P2" s="5" t="s">
        <v>16</v>
      </c>
      <c r="Q2" s="5" t="s">
        <v>14</v>
      </c>
      <c r="R2" s="5" t="s">
        <v>9</v>
      </c>
      <c r="S2" s="5" t="s">
        <v>15</v>
      </c>
      <c r="T2" s="5" t="s">
        <v>15</v>
      </c>
      <c r="V2" s="20" t="s">
        <v>30</v>
      </c>
      <c r="W2" s="21"/>
      <c r="X2" s="21"/>
      <c r="Y2" s="21"/>
      <c r="Z2" s="21"/>
      <c r="AA2" s="21"/>
      <c r="AB2" s="21"/>
      <c r="AC2" s="22"/>
    </row>
    <row r="3" spans="2:29" ht="75" x14ac:dyDescent="0.25">
      <c r="B3" s="6" t="s">
        <v>0</v>
      </c>
      <c r="C3" s="6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7</v>
      </c>
      <c r="I3" s="4" t="s">
        <v>13</v>
      </c>
      <c r="J3" s="4" t="s">
        <v>23</v>
      </c>
      <c r="K3" s="4" t="s">
        <v>18</v>
      </c>
      <c r="L3" s="4" t="s">
        <v>10</v>
      </c>
      <c r="M3" s="4" t="s">
        <v>11</v>
      </c>
      <c r="N3" s="4" t="s">
        <v>12</v>
      </c>
      <c r="O3" s="4" t="s">
        <v>21</v>
      </c>
      <c r="P3" s="4" t="s">
        <v>21</v>
      </c>
      <c r="Q3" s="4" t="s">
        <v>17</v>
      </c>
      <c r="R3" s="4" t="s">
        <v>17</v>
      </c>
      <c r="S3" s="4" t="s">
        <v>19</v>
      </c>
      <c r="T3" s="4" t="s">
        <v>20</v>
      </c>
      <c r="V3" s="4" t="s">
        <v>0</v>
      </c>
      <c r="W3" s="7" t="s">
        <v>24</v>
      </c>
      <c r="X3" s="7" t="s">
        <v>26</v>
      </c>
      <c r="Y3" s="7" t="s">
        <v>25</v>
      </c>
      <c r="Z3" s="7" t="s">
        <v>27</v>
      </c>
      <c r="AA3" s="7" t="s">
        <v>28</v>
      </c>
      <c r="AB3" s="12" t="s">
        <v>31</v>
      </c>
      <c r="AC3" s="13" t="s">
        <v>33</v>
      </c>
    </row>
    <row r="4" spans="2:29" ht="18.75" x14ac:dyDescent="0.25">
      <c r="B4" s="1">
        <v>50</v>
      </c>
      <c r="C4" s="1">
        <v>61</v>
      </c>
      <c r="D4" s="2">
        <f>C4*3.1428571</f>
        <v>191.71428310000002</v>
      </c>
      <c r="E4" s="2">
        <v>650</v>
      </c>
      <c r="F4" s="2">
        <v>0</v>
      </c>
      <c r="G4" s="2">
        <v>5</v>
      </c>
      <c r="H4" s="2">
        <v>50</v>
      </c>
      <c r="I4" s="2">
        <v>16</v>
      </c>
      <c r="J4" s="2">
        <f>E4+40+200</f>
        <v>890</v>
      </c>
      <c r="K4" s="2">
        <f>D4*3</f>
        <v>575.14284930000008</v>
      </c>
      <c r="L4" s="2">
        <v>180</v>
      </c>
      <c r="M4" s="2">
        <f>D4*4</f>
        <v>766.85713240000007</v>
      </c>
      <c r="N4" s="2">
        <f>(H4+I4)*2*6</f>
        <v>792</v>
      </c>
      <c r="O4" s="2">
        <f>SUM(J4:K4)</f>
        <v>1465.1428493000001</v>
      </c>
      <c r="P4" s="2">
        <f>SUM(M4:N4)</f>
        <v>1558.8571324</v>
      </c>
      <c r="Q4" s="2">
        <f>O4/25.4</f>
        <v>57.68278934251969</v>
      </c>
      <c r="R4" s="2">
        <f>P4/25.4</f>
        <v>61.372328047244096</v>
      </c>
      <c r="S4" s="2">
        <f>SUM(Q4:R4)</f>
        <v>119.05511738976378</v>
      </c>
      <c r="T4" s="3">
        <f>S4/12</f>
        <v>9.9212597824803144</v>
      </c>
      <c r="V4" s="8">
        <f>B4</f>
        <v>50</v>
      </c>
      <c r="W4" s="9">
        <f>Q4</f>
        <v>57.68278934251969</v>
      </c>
      <c r="X4" s="10">
        <f>W4/12</f>
        <v>4.8068991118766409</v>
      </c>
      <c r="Y4" s="9">
        <f>R4</f>
        <v>61.372328047244096</v>
      </c>
      <c r="Z4" s="10">
        <f>Y4/12</f>
        <v>5.1143606706036744</v>
      </c>
      <c r="AA4" s="9">
        <f>Y4+W4</f>
        <v>119.05511738976378</v>
      </c>
      <c r="AB4" s="14">
        <f>X4+Z4</f>
        <v>9.9212597824803161</v>
      </c>
      <c r="AC4" s="15">
        <f>((K4*L4)/92416)/2</f>
        <v>0.56010708575354928</v>
      </c>
    </row>
    <row r="5" spans="2:29" ht="18.75" x14ac:dyDescent="0.25">
      <c r="B5" s="1">
        <v>80</v>
      </c>
      <c r="C5" s="1">
        <v>89</v>
      </c>
      <c r="D5" s="2">
        <f t="shared" ref="D5:D13" si="0">C5*3.1428571</f>
        <v>279.7142819</v>
      </c>
      <c r="E5" s="2">
        <v>650</v>
      </c>
      <c r="F5" s="2">
        <v>0</v>
      </c>
      <c r="G5" s="2">
        <v>5</v>
      </c>
      <c r="H5" s="2">
        <v>50</v>
      </c>
      <c r="I5" s="2">
        <v>16</v>
      </c>
      <c r="J5" s="2">
        <f t="shared" ref="J5:J25" si="1">E5+40+200</f>
        <v>890</v>
      </c>
      <c r="K5" s="2">
        <f t="shared" ref="K5:K25" si="2">D5*3</f>
        <v>839.14284569999995</v>
      </c>
      <c r="L5" s="2">
        <v>180</v>
      </c>
      <c r="M5" s="2">
        <f t="shared" ref="M5:M25" si="3">D5*4</f>
        <v>1118.8571276</v>
      </c>
      <c r="N5" s="2">
        <f t="shared" ref="N5:N25" si="4">(H5+I5)*2*6</f>
        <v>792</v>
      </c>
      <c r="O5" s="2">
        <f t="shared" ref="O5:O25" si="5">SUM(J5:K5)</f>
        <v>1729.1428457</v>
      </c>
      <c r="P5" s="2">
        <f t="shared" ref="P5:P13" si="6">SUM(M5:N5)</f>
        <v>1910.8571276</v>
      </c>
      <c r="Q5" s="2">
        <f t="shared" ref="Q5:R25" si="7">O5/25.4</f>
        <v>68.076489988188982</v>
      </c>
      <c r="R5" s="2">
        <f t="shared" si="7"/>
        <v>75.230595574803161</v>
      </c>
      <c r="S5" s="2">
        <f t="shared" ref="S5:S25" si="8">SUM(Q5:R5)</f>
        <v>143.30708556299214</v>
      </c>
      <c r="T5" s="3">
        <f t="shared" ref="T5:T24" si="9">S5/12</f>
        <v>11.942257130249345</v>
      </c>
      <c r="V5" s="8">
        <f t="shared" ref="V5:V25" si="10">B5</f>
        <v>80</v>
      </c>
      <c r="W5" s="9">
        <f t="shared" ref="W5:W25" si="11">Q5</f>
        <v>68.076489988188982</v>
      </c>
      <c r="X5" s="10">
        <f t="shared" ref="X5:X25" si="12">W5/12</f>
        <v>5.6730408323490815</v>
      </c>
      <c r="Y5" s="9">
        <f t="shared" ref="Y5:Y25" si="13">R5</f>
        <v>75.230595574803161</v>
      </c>
      <c r="Z5" s="10">
        <f t="shared" ref="Z5:Z25" si="14">Y5/12</f>
        <v>6.2692162979002637</v>
      </c>
      <c r="AA5" s="9">
        <f t="shared" ref="AA5:AA25" si="15">Y5+W5</f>
        <v>143.30708556299214</v>
      </c>
      <c r="AB5" s="14">
        <f t="shared" ref="AB5:AB25" si="16">X5+Z5</f>
        <v>11.942257130249345</v>
      </c>
      <c r="AC5" s="15">
        <f t="shared" ref="AC5:AC41" si="17">((K5*L5)/92416)/2</f>
        <v>0.81720542019780129</v>
      </c>
    </row>
    <row r="6" spans="2:29" ht="18.75" x14ac:dyDescent="0.25">
      <c r="B6" s="1">
        <v>100</v>
      </c>
      <c r="C6" s="1">
        <v>114</v>
      </c>
      <c r="D6" s="2">
        <f t="shared" si="0"/>
        <v>358.28570940000003</v>
      </c>
      <c r="E6" s="2">
        <v>650</v>
      </c>
      <c r="F6" s="2">
        <v>0</v>
      </c>
      <c r="G6" s="2">
        <v>5</v>
      </c>
      <c r="H6" s="2">
        <v>50</v>
      </c>
      <c r="I6" s="2">
        <v>16</v>
      </c>
      <c r="J6" s="2">
        <f t="shared" si="1"/>
        <v>890</v>
      </c>
      <c r="K6" s="2">
        <f t="shared" si="2"/>
        <v>1074.8571282</v>
      </c>
      <c r="L6" s="2">
        <v>180</v>
      </c>
      <c r="M6" s="2">
        <f t="shared" si="3"/>
        <v>1433.1428376000001</v>
      </c>
      <c r="N6" s="2">
        <f t="shared" si="4"/>
        <v>792</v>
      </c>
      <c r="O6" s="2">
        <f t="shared" si="5"/>
        <v>1964.8571282</v>
      </c>
      <c r="P6" s="2">
        <f t="shared" si="6"/>
        <v>2225.1428376000003</v>
      </c>
      <c r="Q6" s="2">
        <f t="shared" si="7"/>
        <v>77.3565798503937</v>
      </c>
      <c r="R6" s="2">
        <f t="shared" si="7"/>
        <v>87.604048724409466</v>
      </c>
      <c r="S6" s="2">
        <f t="shared" si="8"/>
        <v>164.96062857480317</v>
      </c>
      <c r="T6" s="3">
        <f t="shared" si="9"/>
        <v>13.746719047900264</v>
      </c>
      <c r="V6" s="8">
        <f t="shared" si="10"/>
        <v>100</v>
      </c>
      <c r="W6" s="9">
        <f t="shared" si="11"/>
        <v>77.3565798503937</v>
      </c>
      <c r="X6" s="10">
        <f t="shared" si="12"/>
        <v>6.4463816541994747</v>
      </c>
      <c r="Y6" s="9">
        <f t="shared" si="13"/>
        <v>87.604048724409466</v>
      </c>
      <c r="Z6" s="10">
        <f t="shared" si="14"/>
        <v>7.3003373937007892</v>
      </c>
      <c r="AA6" s="9">
        <f t="shared" si="15"/>
        <v>164.96062857480317</v>
      </c>
      <c r="AB6" s="14">
        <f t="shared" si="16"/>
        <v>13.746719047900264</v>
      </c>
      <c r="AC6" s="15">
        <f t="shared" si="17"/>
        <v>1.0467575045230262</v>
      </c>
    </row>
    <row r="7" spans="2:29" ht="18.75" x14ac:dyDescent="0.25">
      <c r="B7" s="1">
        <v>150</v>
      </c>
      <c r="C7" s="1">
        <v>169</v>
      </c>
      <c r="D7" s="2">
        <f t="shared" si="0"/>
        <v>531.14284989999999</v>
      </c>
      <c r="E7" s="2">
        <v>650</v>
      </c>
      <c r="F7" s="2">
        <v>0</v>
      </c>
      <c r="G7" s="2">
        <v>5</v>
      </c>
      <c r="H7" s="2">
        <v>50</v>
      </c>
      <c r="I7" s="2">
        <v>16</v>
      </c>
      <c r="J7" s="2">
        <f t="shared" si="1"/>
        <v>890</v>
      </c>
      <c r="K7" s="2">
        <f t="shared" si="2"/>
        <v>1593.4285497000001</v>
      </c>
      <c r="L7" s="2">
        <v>180</v>
      </c>
      <c r="M7" s="2">
        <f t="shared" si="3"/>
        <v>2124.5713995999999</v>
      </c>
      <c r="N7" s="2">
        <f t="shared" si="4"/>
        <v>792</v>
      </c>
      <c r="O7" s="2">
        <f t="shared" si="5"/>
        <v>2483.4285497000001</v>
      </c>
      <c r="P7" s="2">
        <f t="shared" si="6"/>
        <v>2916.5713995999999</v>
      </c>
      <c r="Q7" s="2">
        <f t="shared" si="7"/>
        <v>97.772777547244104</v>
      </c>
      <c r="R7" s="2">
        <f t="shared" si="7"/>
        <v>114.8256456535433</v>
      </c>
      <c r="S7" s="2">
        <f t="shared" si="8"/>
        <v>212.59842320078741</v>
      </c>
      <c r="T7" s="3">
        <f t="shared" si="9"/>
        <v>17.716535266732283</v>
      </c>
      <c r="V7" s="8">
        <f t="shared" si="10"/>
        <v>150</v>
      </c>
      <c r="W7" s="9">
        <f t="shared" si="11"/>
        <v>97.772777547244104</v>
      </c>
      <c r="X7" s="10">
        <f t="shared" si="12"/>
        <v>8.1477314622703414</v>
      </c>
      <c r="Y7" s="9">
        <f t="shared" si="13"/>
        <v>114.8256456535433</v>
      </c>
      <c r="Z7" s="10">
        <f t="shared" si="14"/>
        <v>9.5688038044619415</v>
      </c>
      <c r="AA7" s="9">
        <f t="shared" si="15"/>
        <v>212.59842320078741</v>
      </c>
      <c r="AB7" s="14">
        <f t="shared" si="16"/>
        <v>17.716535266732283</v>
      </c>
      <c r="AC7" s="15">
        <f t="shared" si="17"/>
        <v>1.5517720900385217</v>
      </c>
    </row>
    <row r="8" spans="2:29" ht="18.75" x14ac:dyDescent="0.25">
      <c r="B8" s="1">
        <v>200</v>
      </c>
      <c r="C8" s="1">
        <v>219</v>
      </c>
      <c r="D8" s="2">
        <f t="shared" si="0"/>
        <v>688.28570490000004</v>
      </c>
      <c r="E8" s="2">
        <v>700</v>
      </c>
      <c r="F8" s="2">
        <v>0</v>
      </c>
      <c r="G8" s="2">
        <v>5</v>
      </c>
      <c r="H8" s="2">
        <v>50</v>
      </c>
      <c r="I8" s="2">
        <v>16</v>
      </c>
      <c r="J8" s="2">
        <f t="shared" si="1"/>
        <v>940</v>
      </c>
      <c r="K8" s="2">
        <f t="shared" si="2"/>
        <v>2064.8571147000002</v>
      </c>
      <c r="L8" s="2">
        <v>180</v>
      </c>
      <c r="M8" s="2">
        <f t="shared" si="3"/>
        <v>2753.1428196000002</v>
      </c>
      <c r="N8" s="2">
        <f t="shared" si="4"/>
        <v>792</v>
      </c>
      <c r="O8" s="2">
        <f t="shared" si="5"/>
        <v>3004.8571147000002</v>
      </c>
      <c r="P8" s="2">
        <f t="shared" si="6"/>
        <v>3545.1428196000002</v>
      </c>
      <c r="Q8" s="2">
        <f t="shared" si="7"/>
        <v>118.30146120866144</v>
      </c>
      <c r="R8" s="2">
        <f t="shared" si="7"/>
        <v>139.57255195275593</v>
      </c>
      <c r="S8" s="2">
        <f t="shared" si="8"/>
        <v>257.87401316141734</v>
      </c>
      <c r="T8" s="3">
        <f t="shared" si="9"/>
        <v>21.489501096784778</v>
      </c>
      <c r="V8" s="8">
        <f t="shared" si="10"/>
        <v>200</v>
      </c>
      <c r="W8" s="9">
        <f t="shared" si="11"/>
        <v>118.30146120866144</v>
      </c>
      <c r="X8" s="10">
        <f t="shared" si="12"/>
        <v>9.8584551007217858</v>
      </c>
      <c r="Y8" s="9">
        <f t="shared" si="13"/>
        <v>139.57255195275593</v>
      </c>
      <c r="Z8" s="10">
        <f t="shared" si="14"/>
        <v>11.631045996062994</v>
      </c>
      <c r="AA8" s="9">
        <f t="shared" si="15"/>
        <v>257.87401316141734</v>
      </c>
      <c r="AB8" s="14">
        <f t="shared" si="16"/>
        <v>21.489501096784778</v>
      </c>
      <c r="AC8" s="15">
        <f t="shared" si="17"/>
        <v>2.0108762586889721</v>
      </c>
    </row>
    <row r="9" spans="2:29" ht="18.75" x14ac:dyDescent="0.25">
      <c r="B9" s="1">
        <v>250</v>
      </c>
      <c r="C9" s="1">
        <v>273</v>
      </c>
      <c r="D9" s="2">
        <f t="shared" si="0"/>
        <v>857.99998830000004</v>
      </c>
      <c r="E9" s="2">
        <v>825</v>
      </c>
      <c r="F9" s="2">
        <v>0</v>
      </c>
      <c r="G9" s="2">
        <v>5</v>
      </c>
      <c r="H9" s="2">
        <v>50</v>
      </c>
      <c r="I9" s="2">
        <v>16</v>
      </c>
      <c r="J9" s="2">
        <f t="shared" si="1"/>
        <v>1065</v>
      </c>
      <c r="K9" s="2">
        <f t="shared" si="2"/>
        <v>2573.9999649000001</v>
      </c>
      <c r="L9" s="2">
        <v>180</v>
      </c>
      <c r="M9" s="2">
        <f t="shared" si="3"/>
        <v>3431.9999532000002</v>
      </c>
      <c r="N9" s="2">
        <f t="shared" si="4"/>
        <v>792</v>
      </c>
      <c r="O9" s="2">
        <f t="shared" si="5"/>
        <v>3638.9999649000001</v>
      </c>
      <c r="P9" s="2">
        <f t="shared" si="6"/>
        <v>4223.9999532000002</v>
      </c>
      <c r="Q9" s="2">
        <f t="shared" si="7"/>
        <v>143.26771515354332</v>
      </c>
      <c r="R9" s="2">
        <f t="shared" si="7"/>
        <v>166.29921075590553</v>
      </c>
      <c r="S9" s="2">
        <f t="shared" si="8"/>
        <v>309.56692590944886</v>
      </c>
      <c r="T9" s="3">
        <f t="shared" si="9"/>
        <v>25.797243825787405</v>
      </c>
      <c r="V9" s="8">
        <f t="shared" si="10"/>
        <v>250</v>
      </c>
      <c r="W9" s="9">
        <f t="shared" si="11"/>
        <v>143.26771515354332</v>
      </c>
      <c r="X9" s="10">
        <f t="shared" si="12"/>
        <v>11.938976262795277</v>
      </c>
      <c r="Y9" s="9">
        <f t="shared" si="13"/>
        <v>166.29921075590553</v>
      </c>
      <c r="Z9" s="10">
        <f t="shared" si="14"/>
        <v>13.858267562992127</v>
      </c>
      <c r="AA9" s="9">
        <f t="shared" si="15"/>
        <v>309.56692590944886</v>
      </c>
      <c r="AB9" s="14">
        <f t="shared" si="16"/>
        <v>25.797243825787405</v>
      </c>
      <c r="AC9" s="15">
        <f t="shared" si="17"/>
        <v>2.506708760831458</v>
      </c>
    </row>
    <row r="10" spans="2:29" ht="18.75" x14ac:dyDescent="0.25">
      <c r="B10" s="1">
        <v>300</v>
      </c>
      <c r="C10" s="1">
        <v>324</v>
      </c>
      <c r="D10" s="2">
        <f t="shared" si="0"/>
        <v>1018.2857004</v>
      </c>
      <c r="E10" s="2">
        <v>825</v>
      </c>
      <c r="F10" s="2">
        <v>0</v>
      </c>
      <c r="G10" s="2">
        <v>6</v>
      </c>
      <c r="H10" s="2">
        <v>50</v>
      </c>
      <c r="I10" s="2">
        <v>16</v>
      </c>
      <c r="J10" s="2">
        <f t="shared" si="1"/>
        <v>1065</v>
      </c>
      <c r="K10" s="2">
        <f t="shared" si="2"/>
        <v>3054.8571012000002</v>
      </c>
      <c r="L10" s="2">
        <v>180</v>
      </c>
      <c r="M10" s="2">
        <f t="shared" si="3"/>
        <v>4073.1428016</v>
      </c>
      <c r="N10" s="2">
        <f t="shared" si="4"/>
        <v>792</v>
      </c>
      <c r="O10" s="2">
        <f t="shared" si="5"/>
        <v>4119.8571012000002</v>
      </c>
      <c r="P10" s="2">
        <f t="shared" si="6"/>
        <v>4865.1428016</v>
      </c>
      <c r="Q10" s="2">
        <f t="shared" si="7"/>
        <v>162.19909847244097</v>
      </c>
      <c r="R10" s="2">
        <f t="shared" si="7"/>
        <v>191.54105518110237</v>
      </c>
      <c r="S10" s="2">
        <f t="shared" si="8"/>
        <v>353.7401536535433</v>
      </c>
      <c r="T10" s="3">
        <f t="shared" si="9"/>
        <v>29.478346137795274</v>
      </c>
      <c r="V10" s="8">
        <f t="shared" si="10"/>
        <v>300</v>
      </c>
      <c r="W10" s="9">
        <f t="shared" si="11"/>
        <v>162.19909847244097</v>
      </c>
      <c r="X10" s="10">
        <f t="shared" si="12"/>
        <v>13.516591539370081</v>
      </c>
      <c r="Y10" s="9">
        <f t="shared" si="13"/>
        <v>191.54105518110237</v>
      </c>
      <c r="Z10" s="10">
        <f t="shared" si="14"/>
        <v>15.961754598425197</v>
      </c>
      <c r="AA10" s="9">
        <f t="shared" si="15"/>
        <v>353.7401536535433</v>
      </c>
      <c r="AB10" s="14">
        <f t="shared" si="16"/>
        <v>29.478346137795278</v>
      </c>
      <c r="AC10" s="15">
        <f t="shared" si="17"/>
        <v>2.9749950128549174</v>
      </c>
    </row>
    <row r="11" spans="2:29" ht="18.75" x14ac:dyDescent="0.25">
      <c r="B11" s="1">
        <v>350</v>
      </c>
      <c r="C11" s="1">
        <v>356</v>
      </c>
      <c r="D11" s="2">
        <f t="shared" si="0"/>
        <v>1118.8571276</v>
      </c>
      <c r="E11" s="2">
        <v>825</v>
      </c>
      <c r="F11" s="2">
        <v>0</v>
      </c>
      <c r="G11" s="2">
        <v>6</v>
      </c>
      <c r="H11" s="2">
        <v>50</v>
      </c>
      <c r="I11" s="2">
        <v>16</v>
      </c>
      <c r="J11" s="2">
        <f t="shared" si="1"/>
        <v>1065</v>
      </c>
      <c r="K11" s="2">
        <f t="shared" si="2"/>
        <v>3356.5713827999998</v>
      </c>
      <c r="L11" s="2">
        <v>180</v>
      </c>
      <c r="M11" s="2">
        <f t="shared" si="3"/>
        <v>4475.4285104000001</v>
      </c>
      <c r="N11" s="2">
        <f t="shared" si="4"/>
        <v>792</v>
      </c>
      <c r="O11" s="2">
        <f t="shared" si="5"/>
        <v>4421.5713827999998</v>
      </c>
      <c r="P11" s="2">
        <f t="shared" si="6"/>
        <v>5267.4285104000001</v>
      </c>
      <c r="Q11" s="2">
        <f t="shared" si="7"/>
        <v>174.07761349606298</v>
      </c>
      <c r="R11" s="2">
        <f t="shared" si="7"/>
        <v>207.37907521259845</v>
      </c>
      <c r="S11" s="2">
        <f t="shared" si="8"/>
        <v>381.45668870866143</v>
      </c>
      <c r="T11" s="3">
        <f t="shared" si="9"/>
        <v>31.788057392388453</v>
      </c>
      <c r="V11" s="8">
        <f t="shared" si="10"/>
        <v>350</v>
      </c>
      <c r="W11" s="9">
        <f t="shared" si="11"/>
        <v>174.07761349606298</v>
      </c>
      <c r="X11" s="10">
        <f t="shared" si="12"/>
        <v>14.506467791338581</v>
      </c>
      <c r="Y11" s="9">
        <f t="shared" si="13"/>
        <v>207.37907521259845</v>
      </c>
      <c r="Z11" s="10">
        <f t="shared" si="14"/>
        <v>17.28158960104987</v>
      </c>
      <c r="AA11" s="9">
        <f t="shared" si="15"/>
        <v>381.45668870866143</v>
      </c>
      <c r="AB11" s="14">
        <f t="shared" si="16"/>
        <v>31.788057392388453</v>
      </c>
      <c r="AC11" s="15">
        <f t="shared" si="17"/>
        <v>3.2688216807912052</v>
      </c>
    </row>
    <row r="12" spans="2:29" ht="18.75" x14ac:dyDescent="0.25">
      <c r="B12" s="1">
        <v>400</v>
      </c>
      <c r="C12" s="1">
        <v>406</v>
      </c>
      <c r="D12" s="2">
        <f t="shared" si="0"/>
        <v>1275.9999826000001</v>
      </c>
      <c r="E12" s="2">
        <v>825</v>
      </c>
      <c r="F12" s="2">
        <v>0</v>
      </c>
      <c r="G12" s="2">
        <v>6</v>
      </c>
      <c r="H12" s="2">
        <v>75</v>
      </c>
      <c r="I12" s="2">
        <v>20</v>
      </c>
      <c r="J12" s="2">
        <f t="shared" si="1"/>
        <v>1065</v>
      </c>
      <c r="K12" s="2">
        <f t="shared" si="2"/>
        <v>3827.9999478</v>
      </c>
      <c r="L12" s="2">
        <v>180</v>
      </c>
      <c r="M12" s="2">
        <f>D12*4</f>
        <v>5103.9999304000003</v>
      </c>
      <c r="N12" s="2">
        <f t="shared" si="4"/>
        <v>1140</v>
      </c>
      <c r="O12" s="2">
        <f>SUM(J12:K12)</f>
        <v>4892.9999478</v>
      </c>
      <c r="P12" s="2">
        <f t="shared" si="6"/>
        <v>6243.9999304000003</v>
      </c>
      <c r="Q12" s="2">
        <f t="shared" si="7"/>
        <v>192.63779322047245</v>
      </c>
      <c r="R12" s="2">
        <f t="shared" si="7"/>
        <v>245.82676891338585</v>
      </c>
      <c r="S12" s="2">
        <f t="shared" si="8"/>
        <v>438.46456213385829</v>
      </c>
      <c r="T12" s="3">
        <f t="shared" si="9"/>
        <v>36.53871351115486</v>
      </c>
      <c r="V12" s="8">
        <f t="shared" si="10"/>
        <v>400</v>
      </c>
      <c r="W12" s="9">
        <f t="shared" si="11"/>
        <v>192.63779322047245</v>
      </c>
      <c r="X12" s="10">
        <f t="shared" si="12"/>
        <v>16.053149435039369</v>
      </c>
      <c r="Y12" s="9">
        <f t="shared" si="13"/>
        <v>245.82676891338585</v>
      </c>
      <c r="Z12" s="10">
        <f t="shared" si="14"/>
        <v>20.485564076115487</v>
      </c>
      <c r="AA12" s="9">
        <f t="shared" si="15"/>
        <v>438.46456213385829</v>
      </c>
      <c r="AB12" s="14">
        <f t="shared" si="16"/>
        <v>36.538713511154853</v>
      </c>
      <c r="AC12" s="15">
        <f t="shared" si="17"/>
        <v>3.7279258494416556</v>
      </c>
    </row>
    <row r="13" spans="2:29" ht="18.75" x14ac:dyDescent="0.25">
      <c r="B13" s="1">
        <v>450</v>
      </c>
      <c r="C13" s="1">
        <v>456</v>
      </c>
      <c r="D13" s="2">
        <f t="shared" si="0"/>
        <v>1433.1428376000001</v>
      </c>
      <c r="E13" s="2">
        <v>825</v>
      </c>
      <c r="F13" s="2">
        <v>0</v>
      </c>
      <c r="G13" s="2">
        <v>6</v>
      </c>
      <c r="H13" s="2">
        <v>75</v>
      </c>
      <c r="I13" s="2">
        <v>20</v>
      </c>
      <c r="J13" s="2">
        <f t="shared" si="1"/>
        <v>1065</v>
      </c>
      <c r="K13" s="2">
        <f t="shared" si="2"/>
        <v>4299.4285128000001</v>
      </c>
      <c r="L13" s="2">
        <v>180</v>
      </c>
      <c r="M13" s="2">
        <f t="shared" si="3"/>
        <v>5732.5713504000005</v>
      </c>
      <c r="N13" s="2">
        <f t="shared" si="4"/>
        <v>1140</v>
      </c>
      <c r="O13" s="2">
        <f t="shared" si="5"/>
        <v>5364.4285128000001</v>
      </c>
      <c r="P13" s="2">
        <f t="shared" si="6"/>
        <v>6872.5713504000005</v>
      </c>
      <c r="Q13" s="2">
        <f t="shared" si="7"/>
        <v>211.19797294488191</v>
      </c>
      <c r="R13" s="2">
        <f t="shared" si="7"/>
        <v>270.57367521259846</v>
      </c>
      <c r="S13" s="2">
        <f t="shared" si="8"/>
        <v>481.7716481574804</v>
      </c>
      <c r="T13" s="3">
        <f t="shared" si="9"/>
        <v>40.147637346456698</v>
      </c>
      <c r="V13" s="8">
        <f t="shared" si="10"/>
        <v>450</v>
      </c>
      <c r="W13" s="9">
        <f t="shared" si="11"/>
        <v>211.19797294488191</v>
      </c>
      <c r="X13" s="10">
        <f t="shared" si="12"/>
        <v>17.599831078740159</v>
      </c>
      <c r="Y13" s="9">
        <f t="shared" si="13"/>
        <v>270.57367521259846</v>
      </c>
      <c r="Z13" s="10">
        <f t="shared" si="14"/>
        <v>22.547806267716538</v>
      </c>
      <c r="AA13" s="9">
        <f t="shared" si="15"/>
        <v>481.7716481574804</v>
      </c>
      <c r="AB13" s="14">
        <f t="shared" si="16"/>
        <v>40.147637346456698</v>
      </c>
      <c r="AC13" s="15">
        <f t="shared" si="17"/>
        <v>4.1870300180921047</v>
      </c>
    </row>
    <row r="14" spans="2:29" ht="18.75" x14ac:dyDescent="0.25">
      <c r="B14" s="1">
        <v>500</v>
      </c>
      <c r="C14" s="1">
        <v>508</v>
      </c>
      <c r="D14" s="2">
        <f>(C14-G14)*3.1428571</f>
        <v>1577.7142642000001</v>
      </c>
      <c r="E14" s="2">
        <v>825</v>
      </c>
      <c r="F14" s="2">
        <v>200</v>
      </c>
      <c r="G14" s="2">
        <v>6</v>
      </c>
      <c r="H14" s="2">
        <v>75</v>
      </c>
      <c r="I14" s="2">
        <v>20</v>
      </c>
      <c r="J14" s="2">
        <f t="shared" si="1"/>
        <v>1065</v>
      </c>
      <c r="K14" s="2">
        <f t="shared" si="2"/>
        <v>4733.1427926000006</v>
      </c>
      <c r="L14" s="2">
        <f t="shared" ref="L14:L25" si="18">F14</f>
        <v>200</v>
      </c>
      <c r="M14" s="2">
        <f t="shared" si="3"/>
        <v>6310.8570568000005</v>
      </c>
      <c r="N14" s="2">
        <f t="shared" si="4"/>
        <v>1140</v>
      </c>
      <c r="O14" s="2">
        <f t="shared" si="5"/>
        <v>5798.1427926000006</v>
      </c>
      <c r="P14" s="2">
        <f t="shared" ref="P14:P41" si="19">SUM(L14:N14)</f>
        <v>7650.8570568000005</v>
      </c>
      <c r="Q14" s="2">
        <f t="shared" si="7"/>
        <v>228.27333829133863</v>
      </c>
      <c r="R14" s="2">
        <f t="shared" si="7"/>
        <v>301.21484475590557</v>
      </c>
      <c r="S14" s="2">
        <f t="shared" si="8"/>
        <v>529.48818304724421</v>
      </c>
      <c r="T14" s="3">
        <f t="shared" si="9"/>
        <v>44.124015253937017</v>
      </c>
      <c r="V14" s="8">
        <f t="shared" si="10"/>
        <v>500</v>
      </c>
      <c r="W14" s="9">
        <f t="shared" si="11"/>
        <v>228.27333829133863</v>
      </c>
      <c r="X14" s="10">
        <f t="shared" si="12"/>
        <v>19.022778190944887</v>
      </c>
      <c r="Y14" s="9">
        <f t="shared" si="13"/>
        <v>301.21484475590557</v>
      </c>
      <c r="Z14" s="10">
        <f t="shared" si="14"/>
        <v>25.10123706299213</v>
      </c>
      <c r="AA14" s="9">
        <f t="shared" si="15"/>
        <v>529.48818304724421</v>
      </c>
      <c r="AB14" s="14">
        <f t="shared" si="16"/>
        <v>44.124015253937017</v>
      </c>
      <c r="AC14" s="15">
        <f t="shared" si="17"/>
        <v>5.1215620591672444</v>
      </c>
    </row>
    <row r="15" spans="2:29" ht="18.75" x14ac:dyDescent="0.25">
      <c r="B15" s="1">
        <v>600</v>
      </c>
      <c r="C15" s="1">
        <v>610</v>
      </c>
      <c r="D15" s="2">
        <f t="shared" ref="D15:D41" si="20">(C15-G15)*3.1428571</f>
        <v>1898.2856884</v>
      </c>
      <c r="E15" s="2">
        <v>825</v>
      </c>
      <c r="F15" s="2">
        <v>200</v>
      </c>
      <c r="G15" s="2">
        <v>6</v>
      </c>
      <c r="H15" s="2">
        <v>75</v>
      </c>
      <c r="I15" s="2">
        <v>20</v>
      </c>
      <c r="J15" s="2">
        <f t="shared" si="1"/>
        <v>1065</v>
      </c>
      <c r="K15" s="2">
        <f t="shared" si="2"/>
        <v>5694.8570651999999</v>
      </c>
      <c r="L15" s="2">
        <f t="shared" si="18"/>
        <v>200</v>
      </c>
      <c r="M15" s="2">
        <f t="shared" si="3"/>
        <v>7593.1427536000001</v>
      </c>
      <c r="N15" s="2">
        <f t="shared" si="4"/>
        <v>1140</v>
      </c>
      <c r="O15" s="2">
        <f t="shared" si="5"/>
        <v>6759.8570651999999</v>
      </c>
      <c r="P15" s="2">
        <f t="shared" si="19"/>
        <v>8933.142753600001</v>
      </c>
      <c r="Q15" s="2">
        <f t="shared" si="7"/>
        <v>266.13610492913386</v>
      </c>
      <c r="R15" s="2">
        <f t="shared" si="7"/>
        <v>351.69853360629929</v>
      </c>
      <c r="S15" s="2">
        <f t="shared" si="8"/>
        <v>617.83463853543321</v>
      </c>
      <c r="T15" s="3">
        <f t="shared" si="9"/>
        <v>51.48621987795277</v>
      </c>
      <c r="V15" s="8">
        <f t="shared" si="10"/>
        <v>600</v>
      </c>
      <c r="W15" s="9">
        <f t="shared" si="11"/>
        <v>266.13610492913386</v>
      </c>
      <c r="X15" s="10">
        <f t="shared" si="12"/>
        <v>22.178008744094488</v>
      </c>
      <c r="Y15" s="9">
        <f t="shared" si="13"/>
        <v>351.69853360629929</v>
      </c>
      <c r="Z15" s="10">
        <f t="shared" si="14"/>
        <v>29.308211133858276</v>
      </c>
      <c r="AA15" s="9">
        <f t="shared" si="15"/>
        <v>617.83463853543321</v>
      </c>
      <c r="AB15" s="14">
        <f t="shared" si="16"/>
        <v>51.486219877952763</v>
      </c>
      <c r="AC15" s="15">
        <f t="shared" si="17"/>
        <v>6.1621981747749306</v>
      </c>
    </row>
    <row r="16" spans="2:29" ht="18.75" x14ac:dyDescent="0.25">
      <c r="B16" s="1">
        <v>700</v>
      </c>
      <c r="C16" s="1">
        <v>711</v>
      </c>
      <c r="D16" s="2">
        <f t="shared" si="20"/>
        <v>2209.4285413000002</v>
      </c>
      <c r="E16" s="2">
        <v>825</v>
      </c>
      <c r="F16" s="2">
        <v>200</v>
      </c>
      <c r="G16" s="2">
        <v>8</v>
      </c>
      <c r="H16" s="2">
        <v>100</v>
      </c>
      <c r="I16" s="2">
        <v>25</v>
      </c>
      <c r="J16" s="2">
        <f t="shared" si="1"/>
        <v>1065</v>
      </c>
      <c r="K16" s="2">
        <f t="shared" si="2"/>
        <v>6628.2856239000012</v>
      </c>
      <c r="L16" s="2">
        <f t="shared" si="18"/>
        <v>200</v>
      </c>
      <c r="M16" s="2">
        <f t="shared" si="3"/>
        <v>8837.7141652000009</v>
      </c>
      <c r="N16" s="2">
        <f t="shared" si="4"/>
        <v>1500</v>
      </c>
      <c r="O16" s="2">
        <f t="shared" si="5"/>
        <v>7693.2856239000012</v>
      </c>
      <c r="P16" s="2">
        <f t="shared" si="19"/>
        <v>10537.714165200001</v>
      </c>
      <c r="Q16" s="2">
        <f t="shared" si="7"/>
        <v>302.88526078346462</v>
      </c>
      <c r="R16" s="2">
        <f t="shared" si="7"/>
        <v>414.87063642519689</v>
      </c>
      <c r="S16" s="2">
        <f t="shared" si="8"/>
        <v>717.75589720866151</v>
      </c>
      <c r="T16" s="3">
        <f t="shared" si="9"/>
        <v>59.812991434055128</v>
      </c>
      <c r="V16" s="8">
        <f t="shared" si="10"/>
        <v>700</v>
      </c>
      <c r="W16" s="9">
        <f t="shared" si="11"/>
        <v>302.88526078346462</v>
      </c>
      <c r="X16" s="10">
        <f t="shared" si="12"/>
        <v>25.24043839862205</v>
      </c>
      <c r="Y16" s="9">
        <f t="shared" si="13"/>
        <v>414.87063642519689</v>
      </c>
      <c r="Z16" s="10">
        <f t="shared" si="14"/>
        <v>34.572553035433074</v>
      </c>
      <c r="AA16" s="9">
        <f t="shared" si="15"/>
        <v>717.75589720866151</v>
      </c>
      <c r="AB16" s="14">
        <f t="shared" si="16"/>
        <v>59.812991434055121</v>
      </c>
      <c r="AC16" s="15">
        <f t="shared" si="17"/>
        <v>7.172227345805922</v>
      </c>
    </row>
    <row r="17" spans="1:29" ht="18.75" x14ac:dyDescent="0.25">
      <c r="B17" s="1">
        <v>750</v>
      </c>
      <c r="C17" s="1">
        <v>762</v>
      </c>
      <c r="D17" s="2">
        <f t="shared" si="20"/>
        <v>2369.7142534</v>
      </c>
      <c r="E17" s="2">
        <v>825</v>
      </c>
      <c r="F17" s="2">
        <v>200</v>
      </c>
      <c r="G17" s="2">
        <v>8</v>
      </c>
      <c r="H17" s="2">
        <v>100</v>
      </c>
      <c r="I17" s="2">
        <v>25</v>
      </c>
      <c r="J17" s="2">
        <f t="shared" si="1"/>
        <v>1065</v>
      </c>
      <c r="K17" s="2">
        <f t="shared" si="2"/>
        <v>7109.1427602000003</v>
      </c>
      <c r="L17" s="2">
        <f t="shared" si="18"/>
        <v>200</v>
      </c>
      <c r="M17" s="2">
        <f t="shared" si="3"/>
        <v>9478.8570135999998</v>
      </c>
      <c r="N17" s="2">
        <f t="shared" si="4"/>
        <v>1500</v>
      </c>
      <c r="O17" s="2">
        <f t="shared" si="5"/>
        <v>8174.1427602000003</v>
      </c>
      <c r="P17" s="2">
        <f t="shared" si="19"/>
        <v>11178.8570136</v>
      </c>
      <c r="Q17" s="2">
        <f t="shared" si="7"/>
        <v>321.81664410236226</v>
      </c>
      <c r="R17" s="2">
        <f t="shared" si="7"/>
        <v>440.11248085039369</v>
      </c>
      <c r="S17" s="2">
        <f t="shared" si="8"/>
        <v>761.92912495275596</v>
      </c>
      <c r="T17" s="3">
        <f t="shared" si="9"/>
        <v>63.494093746062994</v>
      </c>
      <c r="V17" s="8">
        <f t="shared" si="10"/>
        <v>750</v>
      </c>
      <c r="W17" s="9">
        <f t="shared" si="11"/>
        <v>321.81664410236226</v>
      </c>
      <c r="X17" s="10">
        <f t="shared" si="12"/>
        <v>26.818053675196854</v>
      </c>
      <c r="Y17" s="9">
        <f t="shared" si="13"/>
        <v>440.11248085039369</v>
      </c>
      <c r="Z17" s="10">
        <f t="shared" si="14"/>
        <v>36.676040070866144</v>
      </c>
      <c r="AA17" s="9">
        <f t="shared" si="15"/>
        <v>761.92912495275596</v>
      </c>
      <c r="AB17" s="14">
        <f t="shared" si="16"/>
        <v>63.494093746063001</v>
      </c>
      <c r="AC17" s="15">
        <f t="shared" si="17"/>
        <v>7.6925454036097642</v>
      </c>
    </row>
    <row r="18" spans="1:29" ht="18.75" x14ac:dyDescent="0.25">
      <c r="B18" s="1">
        <v>800</v>
      </c>
      <c r="C18" s="1">
        <v>813</v>
      </c>
      <c r="D18" s="2">
        <f t="shared" si="20"/>
        <v>2529.9999655000001</v>
      </c>
      <c r="E18" s="2">
        <v>825</v>
      </c>
      <c r="F18" s="2">
        <v>200</v>
      </c>
      <c r="G18" s="2">
        <v>8</v>
      </c>
      <c r="H18" s="2">
        <v>100</v>
      </c>
      <c r="I18" s="2">
        <v>25</v>
      </c>
      <c r="J18" s="2">
        <f t="shared" si="1"/>
        <v>1065</v>
      </c>
      <c r="K18" s="2">
        <f t="shared" si="2"/>
        <v>7589.9998965000004</v>
      </c>
      <c r="L18" s="2">
        <f t="shared" si="18"/>
        <v>200</v>
      </c>
      <c r="M18" s="2">
        <f t="shared" si="3"/>
        <v>10119.999862000001</v>
      </c>
      <c r="N18" s="2">
        <f t="shared" si="4"/>
        <v>1500</v>
      </c>
      <c r="O18" s="2">
        <f t="shared" si="5"/>
        <v>8654.9998965000013</v>
      </c>
      <c r="P18" s="2">
        <f t="shared" si="19"/>
        <v>11819.999862000001</v>
      </c>
      <c r="Q18" s="2">
        <f t="shared" si="7"/>
        <v>340.74802742125991</v>
      </c>
      <c r="R18" s="2">
        <f t="shared" si="7"/>
        <v>465.35432527559061</v>
      </c>
      <c r="S18" s="2">
        <f t="shared" si="8"/>
        <v>806.10235269685052</v>
      </c>
      <c r="T18" s="3">
        <f t="shared" si="9"/>
        <v>67.175196058070881</v>
      </c>
      <c r="V18" s="8">
        <f t="shared" si="10"/>
        <v>800</v>
      </c>
      <c r="W18" s="9">
        <f t="shared" si="11"/>
        <v>340.74802742125991</v>
      </c>
      <c r="X18" s="10">
        <f t="shared" si="12"/>
        <v>28.395668951771658</v>
      </c>
      <c r="Y18" s="9">
        <f t="shared" si="13"/>
        <v>465.35432527559061</v>
      </c>
      <c r="Z18" s="10">
        <f t="shared" si="14"/>
        <v>38.77952710629922</v>
      </c>
      <c r="AA18" s="9">
        <f t="shared" si="15"/>
        <v>806.10235269685052</v>
      </c>
      <c r="AB18" s="14">
        <f t="shared" si="16"/>
        <v>67.175196058070881</v>
      </c>
      <c r="AC18" s="15">
        <f t="shared" si="17"/>
        <v>8.2128634614136082</v>
      </c>
    </row>
    <row r="19" spans="1:29" ht="18.75" x14ac:dyDescent="0.25">
      <c r="B19" s="1">
        <v>900</v>
      </c>
      <c r="C19" s="1">
        <v>914</v>
      </c>
      <c r="D19" s="2">
        <f t="shared" si="20"/>
        <v>2847.4285325999999</v>
      </c>
      <c r="E19" s="2">
        <v>825</v>
      </c>
      <c r="F19" s="2">
        <v>200</v>
      </c>
      <c r="G19" s="2">
        <v>8</v>
      </c>
      <c r="H19" s="2">
        <v>100</v>
      </c>
      <c r="I19" s="2">
        <v>25</v>
      </c>
      <c r="J19" s="2">
        <f t="shared" si="1"/>
        <v>1065</v>
      </c>
      <c r="K19" s="2">
        <f t="shared" si="2"/>
        <v>8542.2855978000007</v>
      </c>
      <c r="L19" s="2">
        <f t="shared" si="18"/>
        <v>200</v>
      </c>
      <c r="M19" s="2">
        <f t="shared" si="3"/>
        <v>11389.7141304</v>
      </c>
      <c r="N19" s="2">
        <f t="shared" si="4"/>
        <v>1500</v>
      </c>
      <c r="O19" s="2">
        <f t="shared" si="5"/>
        <v>9607.2855978000007</v>
      </c>
      <c r="P19" s="2">
        <f t="shared" si="19"/>
        <v>13089.7141304</v>
      </c>
      <c r="Q19" s="2">
        <f t="shared" si="7"/>
        <v>378.23959046456696</v>
      </c>
      <c r="R19" s="2">
        <f t="shared" si="7"/>
        <v>515.343076</v>
      </c>
      <c r="S19" s="2">
        <f t="shared" si="8"/>
        <v>893.58266646456696</v>
      </c>
      <c r="T19" s="3">
        <f t="shared" si="9"/>
        <v>74.465222205380584</v>
      </c>
      <c r="V19" s="8">
        <f t="shared" si="10"/>
        <v>900</v>
      </c>
      <c r="W19" s="9">
        <f t="shared" si="11"/>
        <v>378.23959046456696</v>
      </c>
      <c r="X19" s="10">
        <f t="shared" si="12"/>
        <v>31.519965872047248</v>
      </c>
      <c r="Y19" s="9">
        <f t="shared" si="13"/>
        <v>515.343076</v>
      </c>
      <c r="Z19" s="10">
        <f t="shared" si="14"/>
        <v>42.945256333333333</v>
      </c>
      <c r="AA19" s="9">
        <f t="shared" si="15"/>
        <v>893.58266646456696</v>
      </c>
      <c r="AB19" s="14">
        <f t="shared" si="16"/>
        <v>74.465222205380584</v>
      </c>
      <c r="AC19" s="15">
        <f t="shared" si="17"/>
        <v>9.2432972621623968</v>
      </c>
    </row>
    <row r="20" spans="1:29" ht="18.75" x14ac:dyDescent="0.25">
      <c r="B20" s="1">
        <v>1000</v>
      </c>
      <c r="C20" s="1">
        <v>1016</v>
      </c>
      <c r="D20" s="2">
        <f t="shared" si="20"/>
        <v>3167.9999568000003</v>
      </c>
      <c r="E20" s="2">
        <v>825</v>
      </c>
      <c r="F20" s="2">
        <v>200</v>
      </c>
      <c r="G20" s="2">
        <v>8</v>
      </c>
      <c r="H20" s="2">
        <v>100</v>
      </c>
      <c r="I20" s="2">
        <v>30</v>
      </c>
      <c r="J20" s="2">
        <f t="shared" si="1"/>
        <v>1065</v>
      </c>
      <c r="K20" s="2">
        <f t="shared" si="2"/>
        <v>9503.9998704000009</v>
      </c>
      <c r="L20" s="2">
        <f t="shared" si="18"/>
        <v>200</v>
      </c>
      <c r="M20" s="2">
        <f t="shared" si="3"/>
        <v>12671.999827200001</v>
      </c>
      <c r="N20" s="2">
        <f t="shared" si="4"/>
        <v>1560</v>
      </c>
      <c r="O20" s="2">
        <f t="shared" si="5"/>
        <v>10568.999870400001</v>
      </c>
      <c r="P20" s="2">
        <f t="shared" si="19"/>
        <v>14431.999827200001</v>
      </c>
      <c r="Q20" s="2">
        <f t="shared" si="7"/>
        <v>416.10235710236225</v>
      </c>
      <c r="R20" s="2">
        <f>P20/25.4</f>
        <v>568.1889695748032</v>
      </c>
      <c r="S20" s="2">
        <f t="shared" si="8"/>
        <v>984.29132667716544</v>
      </c>
      <c r="T20" s="3">
        <f t="shared" si="9"/>
        <v>82.024277223097116</v>
      </c>
      <c r="V20" s="8">
        <f t="shared" si="10"/>
        <v>1000</v>
      </c>
      <c r="W20" s="9">
        <f t="shared" si="11"/>
        <v>416.10235710236225</v>
      </c>
      <c r="X20" s="10">
        <f t="shared" si="12"/>
        <v>34.675196425196852</v>
      </c>
      <c r="Y20" s="9">
        <f>R20</f>
        <v>568.1889695748032</v>
      </c>
      <c r="Z20" s="10">
        <f t="shared" si="14"/>
        <v>47.349080797900264</v>
      </c>
      <c r="AA20" s="9">
        <f t="shared" si="15"/>
        <v>984.29132667716544</v>
      </c>
      <c r="AB20" s="14">
        <f t="shared" si="16"/>
        <v>82.024277223097116</v>
      </c>
      <c r="AC20" s="15">
        <f t="shared" si="17"/>
        <v>10.283933377770083</v>
      </c>
    </row>
    <row r="21" spans="1:29" ht="18.75" x14ac:dyDescent="0.25">
      <c r="B21" s="1">
        <v>1100</v>
      </c>
      <c r="C21" s="1">
        <v>1118</v>
      </c>
      <c r="D21" s="2">
        <f t="shared" si="20"/>
        <v>3482.2856667999999</v>
      </c>
      <c r="E21" s="2">
        <v>825</v>
      </c>
      <c r="F21" s="2">
        <v>225</v>
      </c>
      <c r="G21" s="2">
        <v>10</v>
      </c>
      <c r="H21" s="2">
        <v>100</v>
      </c>
      <c r="I21" s="2">
        <v>30</v>
      </c>
      <c r="J21" s="2">
        <f t="shared" si="1"/>
        <v>1065</v>
      </c>
      <c r="K21" s="2">
        <f t="shared" si="2"/>
        <v>10446.857000399999</v>
      </c>
      <c r="L21" s="2">
        <f t="shared" si="18"/>
        <v>225</v>
      </c>
      <c r="M21" s="2">
        <f t="shared" si="3"/>
        <v>13929.1426672</v>
      </c>
      <c r="N21" s="2">
        <f t="shared" si="4"/>
        <v>1560</v>
      </c>
      <c r="O21" s="2">
        <f t="shared" si="5"/>
        <v>11511.857000399999</v>
      </c>
      <c r="P21" s="2">
        <f t="shared" si="19"/>
        <v>15714.1426672</v>
      </c>
      <c r="Q21" s="2">
        <f t="shared" si="7"/>
        <v>453.22271655118112</v>
      </c>
      <c r="R21" s="2">
        <f t="shared" si="7"/>
        <v>618.6670341417323</v>
      </c>
      <c r="S21" s="2">
        <f t="shared" si="8"/>
        <v>1071.8897506929134</v>
      </c>
      <c r="T21" s="3">
        <f t="shared" si="9"/>
        <v>89.324145891076114</v>
      </c>
      <c r="V21" s="8">
        <f t="shared" si="10"/>
        <v>1100</v>
      </c>
      <c r="W21" s="9">
        <f t="shared" si="11"/>
        <v>453.22271655118112</v>
      </c>
      <c r="X21" s="10">
        <f t="shared" si="12"/>
        <v>37.768559712598424</v>
      </c>
      <c r="Y21" s="9">
        <f t="shared" si="13"/>
        <v>618.6670341417323</v>
      </c>
      <c r="Z21" s="10">
        <f t="shared" si="14"/>
        <v>51.555586178477689</v>
      </c>
      <c r="AA21" s="9">
        <f t="shared" si="15"/>
        <v>1071.8897506929134</v>
      </c>
      <c r="AB21" s="14">
        <f t="shared" si="16"/>
        <v>89.324145891076114</v>
      </c>
      <c r="AC21" s="15">
        <f t="shared" si="17"/>
        <v>12.717185471617469</v>
      </c>
    </row>
    <row r="22" spans="1:29" ht="18.75" x14ac:dyDescent="0.25">
      <c r="B22" s="1">
        <v>1200</v>
      </c>
      <c r="C22" s="1">
        <v>1219</v>
      </c>
      <c r="D22" s="2">
        <f t="shared" si="20"/>
        <v>3799.7142339000002</v>
      </c>
      <c r="E22" s="2">
        <v>825</v>
      </c>
      <c r="F22" s="2">
        <v>225</v>
      </c>
      <c r="G22" s="2">
        <v>10</v>
      </c>
      <c r="H22" s="2">
        <v>100</v>
      </c>
      <c r="I22" s="2">
        <v>30</v>
      </c>
      <c r="J22" s="2">
        <f t="shared" si="1"/>
        <v>1065</v>
      </c>
      <c r="K22" s="2">
        <f t="shared" si="2"/>
        <v>11399.142701700001</v>
      </c>
      <c r="L22" s="2">
        <f t="shared" si="18"/>
        <v>225</v>
      </c>
      <c r="M22" s="2">
        <f t="shared" si="3"/>
        <v>15198.856935600001</v>
      </c>
      <c r="N22" s="2">
        <f t="shared" si="4"/>
        <v>1560</v>
      </c>
      <c r="O22" s="2">
        <f t="shared" si="5"/>
        <v>12464.142701700001</v>
      </c>
      <c r="P22" s="2">
        <f t="shared" si="19"/>
        <v>16983.856935600001</v>
      </c>
      <c r="Q22" s="2">
        <f t="shared" si="7"/>
        <v>490.71427959448823</v>
      </c>
      <c r="R22" s="2">
        <f t="shared" si="7"/>
        <v>668.65578486614174</v>
      </c>
      <c r="S22" s="2">
        <f t="shared" si="8"/>
        <v>1159.3700644606299</v>
      </c>
      <c r="T22" s="3">
        <f t="shared" si="9"/>
        <v>96.614172038385831</v>
      </c>
      <c r="V22" s="8">
        <f t="shared" si="10"/>
        <v>1200</v>
      </c>
      <c r="W22" s="9">
        <f t="shared" si="11"/>
        <v>490.71427959448823</v>
      </c>
      <c r="X22" s="10">
        <f t="shared" si="12"/>
        <v>40.892856632874022</v>
      </c>
      <c r="Y22" s="9">
        <f t="shared" si="13"/>
        <v>668.65578486614174</v>
      </c>
      <c r="Z22" s="10">
        <f t="shared" si="14"/>
        <v>55.72131540551181</v>
      </c>
      <c r="AA22" s="9">
        <f t="shared" si="15"/>
        <v>1159.3700644606299</v>
      </c>
      <c r="AB22" s="14">
        <f t="shared" si="16"/>
        <v>96.614172038385831</v>
      </c>
      <c r="AC22" s="15">
        <f t="shared" si="17"/>
        <v>13.876423497459855</v>
      </c>
    </row>
    <row r="23" spans="1:29" ht="18.75" x14ac:dyDescent="0.25">
      <c r="B23" s="1">
        <v>1300</v>
      </c>
      <c r="C23" s="1">
        <v>1320</v>
      </c>
      <c r="D23" s="2">
        <f t="shared" si="20"/>
        <v>4117.142801</v>
      </c>
      <c r="E23" s="2">
        <v>825</v>
      </c>
      <c r="F23" s="2">
        <v>225</v>
      </c>
      <c r="G23" s="2">
        <v>10</v>
      </c>
      <c r="H23" s="2">
        <v>100</v>
      </c>
      <c r="I23" s="2">
        <v>30</v>
      </c>
      <c r="J23" s="2">
        <f t="shared" si="1"/>
        <v>1065</v>
      </c>
      <c r="K23" s="2">
        <f t="shared" si="2"/>
        <v>12351.428403</v>
      </c>
      <c r="L23" s="2">
        <f t="shared" si="18"/>
        <v>225</v>
      </c>
      <c r="M23" s="2">
        <f t="shared" si="3"/>
        <v>16468.571204</v>
      </c>
      <c r="N23" s="2">
        <f t="shared" si="4"/>
        <v>1560</v>
      </c>
      <c r="O23" s="2">
        <f t="shared" si="5"/>
        <v>13416.428403</v>
      </c>
      <c r="P23" s="2">
        <f t="shared" si="19"/>
        <v>18253.571204</v>
      </c>
      <c r="Q23" s="2">
        <f t="shared" si="7"/>
        <v>528.20584263779529</v>
      </c>
      <c r="R23" s="2">
        <f t="shared" si="7"/>
        <v>718.64453559055119</v>
      </c>
      <c r="S23" s="2">
        <f t="shared" si="8"/>
        <v>1246.8503782283465</v>
      </c>
      <c r="T23" s="3">
        <f t="shared" si="9"/>
        <v>103.90419818569553</v>
      </c>
      <c r="V23" s="8">
        <f t="shared" si="10"/>
        <v>1300</v>
      </c>
      <c r="W23" s="9">
        <f t="shared" si="11"/>
        <v>528.20584263779529</v>
      </c>
      <c r="X23" s="10">
        <f t="shared" si="12"/>
        <v>44.017153553149605</v>
      </c>
      <c r="Y23" s="9">
        <f t="shared" si="13"/>
        <v>718.64453559055119</v>
      </c>
      <c r="Z23" s="10">
        <f t="shared" si="14"/>
        <v>59.88704463254593</v>
      </c>
      <c r="AA23" s="9">
        <f t="shared" si="15"/>
        <v>1246.8503782283465</v>
      </c>
      <c r="AB23" s="14">
        <f t="shared" si="16"/>
        <v>103.90419818569553</v>
      </c>
      <c r="AC23" s="15">
        <f t="shared" si="17"/>
        <v>15.035661523302242</v>
      </c>
    </row>
    <row r="24" spans="1:29" ht="18.75" x14ac:dyDescent="0.25">
      <c r="B24" s="1">
        <v>1400</v>
      </c>
      <c r="C24" s="1">
        <v>1420</v>
      </c>
      <c r="D24" s="2">
        <f t="shared" si="20"/>
        <v>4431.4285110000001</v>
      </c>
      <c r="E24" s="2">
        <v>825</v>
      </c>
      <c r="F24" s="2">
        <v>225</v>
      </c>
      <c r="G24" s="2">
        <v>10</v>
      </c>
      <c r="H24" s="2">
        <v>100</v>
      </c>
      <c r="I24" s="2">
        <v>30</v>
      </c>
      <c r="J24" s="2">
        <f t="shared" si="1"/>
        <v>1065</v>
      </c>
      <c r="K24" s="2">
        <f t="shared" si="2"/>
        <v>13294.285533</v>
      </c>
      <c r="L24" s="2">
        <f t="shared" si="18"/>
        <v>225</v>
      </c>
      <c r="M24" s="2">
        <f t="shared" si="3"/>
        <v>17725.714044</v>
      </c>
      <c r="N24" s="2">
        <f t="shared" si="4"/>
        <v>1560</v>
      </c>
      <c r="O24" s="2">
        <f t="shared" si="5"/>
        <v>14359.285533</v>
      </c>
      <c r="P24" s="2">
        <f t="shared" si="19"/>
        <v>19510.714044</v>
      </c>
      <c r="Q24" s="2">
        <f t="shared" si="7"/>
        <v>565.32620208661422</v>
      </c>
      <c r="R24" s="2">
        <f t="shared" si="7"/>
        <v>768.13834818897647</v>
      </c>
      <c r="S24" s="2">
        <f t="shared" si="8"/>
        <v>1333.4645502755907</v>
      </c>
      <c r="T24" s="3">
        <f t="shared" si="9"/>
        <v>111.12204585629922</v>
      </c>
      <c r="V24" s="8">
        <f t="shared" si="10"/>
        <v>1400</v>
      </c>
      <c r="W24" s="9">
        <f t="shared" si="11"/>
        <v>565.32620208661422</v>
      </c>
      <c r="X24" s="10">
        <f t="shared" si="12"/>
        <v>47.110516840551185</v>
      </c>
      <c r="Y24" s="9">
        <f t="shared" si="13"/>
        <v>768.13834818897647</v>
      </c>
      <c r="Z24" s="10">
        <f t="shared" si="14"/>
        <v>64.011529015748039</v>
      </c>
      <c r="AA24" s="9">
        <f t="shared" si="15"/>
        <v>1333.4645502755907</v>
      </c>
      <c r="AB24" s="14">
        <f t="shared" si="16"/>
        <v>111.12204585629922</v>
      </c>
      <c r="AC24" s="15">
        <f t="shared" si="17"/>
        <v>16.183421944928369</v>
      </c>
    </row>
    <row r="25" spans="1:29" ht="18.75" x14ac:dyDescent="0.25">
      <c r="B25" s="1">
        <v>1500</v>
      </c>
      <c r="C25" s="1">
        <v>1524</v>
      </c>
      <c r="D25" s="2">
        <f t="shared" si="20"/>
        <v>4758.2856493999998</v>
      </c>
      <c r="E25" s="2">
        <v>1200</v>
      </c>
      <c r="F25" s="2">
        <v>225</v>
      </c>
      <c r="G25" s="2">
        <v>10</v>
      </c>
      <c r="H25" s="2">
        <v>100</v>
      </c>
      <c r="I25" s="2">
        <v>30</v>
      </c>
      <c r="J25" s="2">
        <f t="shared" si="1"/>
        <v>1440</v>
      </c>
      <c r="K25" s="2">
        <f t="shared" si="2"/>
        <v>14274.856948199998</v>
      </c>
      <c r="L25" s="2">
        <f t="shared" si="18"/>
        <v>225</v>
      </c>
      <c r="M25" s="2">
        <f t="shared" si="3"/>
        <v>19033.142597599999</v>
      </c>
      <c r="N25" s="2">
        <f t="shared" si="4"/>
        <v>1560</v>
      </c>
      <c r="O25" s="2">
        <f t="shared" si="5"/>
        <v>15714.856948199998</v>
      </c>
      <c r="P25" s="2">
        <f t="shared" si="19"/>
        <v>20818.142597599999</v>
      </c>
      <c r="Q25" s="2">
        <f t="shared" si="7"/>
        <v>618.69515544094486</v>
      </c>
      <c r="R25" s="2">
        <f t="shared" si="7"/>
        <v>819.61191329133862</v>
      </c>
      <c r="S25" s="2">
        <f t="shared" si="8"/>
        <v>1438.3070687322834</v>
      </c>
      <c r="T25" s="3">
        <f>S25/12</f>
        <v>119.85892239435695</v>
      </c>
      <c r="V25" s="8">
        <f t="shared" si="10"/>
        <v>1500</v>
      </c>
      <c r="W25" s="9">
        <f t="shared" si="11"/>
        <v>618.69515544094486</v>
      </c>
      <c r="X25" s="10">
        <f t="shared" si="12"/>
        <v>51.557929620078738</v>
      </c>
      <c r="Y25" s="9">
        <f t="shared" si="13"/>
        <v>819.61191329133862</v>
      </c>
      <c r="Z25" s="10">
        <f t="shared" si="14"/>
        <v>68.300992774278214</v>
      </c>
      <c r="AA25" s="9">
        <f t="shared" si="15"/>
        <v>1438.3070687322834</v>
      </c>
      <c r="AB25" s="14">
        <f t="shared" si="16"/>
        <v>119.85892239435695</v>
      </c>
      <c r="AC25" s="15">
        <f t="shared" si="17"/>
        <v>17.377092783419535</v>
      </c>
    </row>
    <row r="26" spans="1:29" ht="18.75" x14ac:dyDescent="0.25">
      <c r="D26" s="2">
        <f t="shared" si="20"/>
        <v>0</v>
      </c>
      <c r="AC26" s="15">
        <f t="shared" si="17"/>
        <v>0</v>
      </c>
    </row>
    <row r="27" spans="1:29" ht="18.75" x14ac:dyDescent="0.25">
      <c r="A27" t="s">
        <v>32</v>
      </c>
      <c r="B27" s="11">
        <v>1600</v>
      </c>
      <c r="C27" s="1">
        <v>1624</v>
      </c>
      <c r="D27" s="2">
        <f t="shared" si="20"/>
        <v>5066.2856452000005</v>
      </c>
      <c r="E27" s="2">
        <v>1625</v>
      </c>
      <c r="F27" s="2">
        <v>225</v>
      </c>
      <c r="G27" s="2">
        <v>12</v>
      </c>
      <c r="H27" s="2">
        <v>125</v>
      </c>
      <c r="I27" s="2">
        <v>36</v>
      </c>
      <c r="J27" s="2">
        <f t="shared" ref="J27:J41" si="21">E27+40+240</f>
        <v>1905</v>
      </c>
      <c r="K27" s="2">
        <f t="shared" ref="K27:K41" si="22">D27*3</f>
        <v>15198.856935600001</v>
      </c>
      <c r="L27" s="2">
        <f t="shared" ref="L27:L41" si="23">F27</f>
        <v>225</v>
      </c>
      <c r="M27" s="2">
        <f t="shared" ref="M27:M40" si="24">D27*4</f>
        <v>20265.142580800002</v>
      </c>
      <c r="N27" s="2">
        <f>(H27+I27)*2*8</f>
        <v>2576</v>
      </c>
      <c r="O27" s="2">
        <f t="shared" ref="O27:O41" si="25">SUM(J27:K27)</f>
        <v>17103.856935600001</v>
      </c>
      <c r="P27" s="2">
        <f t="shared" si="19"/>
        <v>23066.142580800002</v>
      </c>
      <c r="Q27" s="2">
        <f t="shared" ref="Q27:R41" si="26">O27/25.4</f>
        <v>673.3801943149607</v>
      </c>
      <c r="R27" s="2">
        <f t="shared" si="26"/>
        <v>908.11584963779546</v>
      </c>
      <c r="S27" s="2">
        <f t="shared" ref="S27:S41" si="27">SUM(Q27:R27)</f>
        <v>1581.4960439527563</v>
      </c>
      <c r="T27" s="3">
        <f t="shared" ref="T27:T41" si="28">S27/12</f>
        <v>131.79133699606302</v>
      </c>
      <c r="V27" s="8">
        <f t="shared" ref="V27:V41" si="29">B27</f>
        <v>1600</v>
      </c>
      <c r="W27" s="9">
        <f t="shared" ref="W27:W41" si="30">Q27</f>
        <v>673.3801943149607</v>
      </c>
      <c r="X27" s="10">
        <f t="shared" ref="X27:X41" si="31">W27/12</f>
        <v>56.115016192913394</v>
      </c>
      <c r="Y27" s="9">
        <f t="shared" ref="Y27:Y41" si="32">R27</f>
        <v>908.11584963779546</v>
      </c>
      <c r="Z27" s="10">
        <f t="shared" ref="Z27:Z41" si="33">Y27/12</f>
        <v>75.676320803149622</v>
      </c>
      <c r="AA27" s="9">
        <f t="shared" ref="AA27:AA41" si="34">Y27+W27</f>
        <v>1581.4960439527563</v>
      </c>
      <c r="AB27" s="14">
        <f t="shared" ref="AB27:AB41" si="35">X27+Z27</f>
        <v>131.79133699606302</v>
      </c>
      <c r="AC27" s="15">
        <f t="shared" si="17"/>
        <v>18.501897996613142</v>
      </c>
    </row>
    <row r="28" spans="1:29" ht="18.75" x14ac:dyDescent="0.25">
      <c r="B28" s="11">
        <v>1700</v>
      </c>
      <c r="C28" s="1">
        <v>1724</v>
      </c>
      <c r="D28" s="2">
        <f t="shared" si="20"/>
        <v>5380.5713551999997</v>
      </c>
      <c r="E28" s="2">
        <v>1625</v>
      </c>
      <c r="F28" s="2">
        <v>225</v>
      </c>
      <c r="G28" s="2">
        <v>12</v>
      </c>
      <c r="H28" s="2">
        <v>125</v>
      </c>
      <c r="I28" s="2">
        <v>36</v>
      </c>
      <c r="J28" s="2">
        <f t="shared" si="21"/>
        <v>1905</v>
      </c>
      <c r="K28" s="2">
        <f t="shared" si="22"/>
        <v>16141.714065599999</v>
      </c>
      <c r="L28" s="2">
        <f t="shared" si="23"/>
        <v>225</v>
      </c>
      <c r="M28" s="2">
        <f t="shared" si="24"/>
        <v>21522.285420799999</v>
      </c>
      <c r="N28" s="2">
        <f>(H28+I28)*2*8</f>
        <v>2576</v>
      </c>
      <c r="O28" s="2">
        <f t="shared" si="25"/>
        <v>18046.714065599997</v>
      </c>
      <c r="P28" s="2">
        <f t="shared" si="19"/>
        <v>24323.285420799999</v>
      </c>
      <c r="Q28" s="2">
        <f t="shared" si="26"/>
        <v>710.50055376377952</v>
      </c>
      <c r="R28" s="2">
        <f t="shared" si="26"/>
        <v>957.60966223622052</v>
      </c>
      <c r="S28" s="2">
        <f t="shared" si="27"/>
        <v>1668.110216</v>
      </c>
      <c r="T28" s="3">
        <f t="shared" si="28"/>
        <v>139.00918466666667</v>
      </c>
      <c r="V28" s="8">
        <f t="shared" si="29"/>
        <v>1700</v>
      </c>
      <c r="W28" s="9">
        <f t="shared" si="30"/>
        <v>710.50055376377952</v>
      </c>
      <c r="X28" s="10">
        <f t="shared" si="31"/>
        <v>59.20837948031496</v>
      </c>
      <c r="Y28" s="9">
        <f t="shared" si="32"/>
        <v>957.60966223622052</v>
      </c>
      <c r="Z28" s="10">
        <f t="shared" si="33"/>
        <v>79.80080518635171</v>
      </c>
      <c r="AA28" s="9">
        <f t="shared" si="34"/>
        <v>1668.110216</v>
      </c>
      <c r="AB28" s="14">
        <f t="shared" si="35"/>
        <v>139.00918466666667</v>
      </c>
      <c r="AC28" s="15">
        <f t="shared" si="17"/>
        <v>19.649658418239262</v>
      </c>
    </row>
    <row r="29" spans="1:29" ht="18.75" x14ac:dyDescent="0.25">
      <c r="B29" s="11">
        <v>1800</v>
      </c>
      <c r="C29" s="1">
        <v>1824</v>
      </c>
      <c r="D29" s="2">
        <f t="shared" si="20"/>
        <v>5694.8570651999999</v>
      </c>
      <c r="E29" s="2">
        <v>1625</v>
      </c>
      <c r="F29" s="2">
        <v>225</v>
      </c>
      <c r="G29" s="2">
        <v>12</v>
      </c>
      <c r="H29" s="2">
        <v>125</v>
      </c>
      <c r="I29" s="2">
        <v>36</v>
      </c>
      <c r="J29" s="2">
        <f t="shared" si="21"/>
        <v>1905</v>
      </c>
      <c r="K29" s="2">
        <f t="shared" si="22"/>
        <v>17084.571195600001</v>
      </c>
      <c r="L29" s="2">
        <f t="shared" si="23"/>
        <v>225</v>
      </c>
      <c r="M29" s="2">
        <f t="shared" si="24"/>
        <v>22779.428260799999</v>
      </c>
      <c r="N29" s="2">
        <f>(H29+I29)*2*8</f>
        <v>2576</v>
      </c>
      <c r="O29" s="2">
        <f t="shared" si="25"/>
        <v>18989.571195600001</v>
      </c>
      <c r="P29" s="2">
        <f t="shared" si="19"/>
        <v>25580.428260799999</v>
      </c>
      <c r="Q29" s="2">
        <f t="shared" si="26"/>
        <v>747.62091321259857</v>
      </c>
      <c r="R29" s="2">
        <f t="shared" si="26"/>
        <v>1007.1034748346457</v>
      </c>
      <c r="S29" s="2">
        <f t="shared" si="27"/>
        <v>1754.7243880472442</v>
      </c>
      <c r="T29" s="3">
        <f t="shared" si="28"/>
        <v>146.22703233727034</v>
      </c>
      <c r="V29" s="8">
        <f t="shared" si="29"/>
        <v>1800</v>
      </c>
      <c r="W29" s="9">
        <f t="shared" si="30"/>
        <v>747.62091321259857</v>
      </c>
      <c r="X29" s="10">
        <f t="shared" si="31"/>
        <v>62.301742767716547</v>
      </c>
      <c r="Y29" s="9">
        <f t="shared" si="32"/>
        <v>1007.1034748346457</v>
      </c>
      <c r="Z29" s="10">
        <f t="shared" si="33"/>
        <v>83.925289569553811</v>
      </c>
      <c r="AA29" s="9">
        <f t="shared" si="34"/>
        <v>1754.7243880472442</v>
      </c>
      <c r="AB29" s="14">
        <f t="shared" si="35"/>
        <v>146.22703233727037</v>
      </c>
      <c r="AC29" s="15">
        <f t="shared" si="17"/>
        <v>20.797418839865394</v>
      </c>
    </row>
    <row r="30" spans="1:29" ht="18.75" x14ac:dyDescent="0.25">
      <c r="B30" s="11">
        <v>1900</v>
      </c>
      <c r="C30" s="1">
        <v>1924</v>
      </c>
      <c r="D30" s="2">
        <f t="shared" si="20"/>
        <v>6009.1427752</v>
      </c>
      <c r="E30" s="2">
        <v>1625</v>
      </c>
      <c r="F30" s="2">
        <v>225</v>
      </c>
      <c r="G30" s="2">
        <v>12</v>
      </c>
      <c r="H30" s="2">
        <v>125</v>
      </c>
      <c r="I30" s="2">
        <v>36</v>
      </c>
      <c r="J30" s="2">
        <f t="shared" si="21"/>
        <v>1905</v>
      </c>
      <c r="K30" s="2">
        <f t="shared" si="22"/>
        <v>18027.428325599998</v>
      </c>
      <c r="L30" s="2">
        <f t="shared" si="23"/>
        <v>225</v>
      </c>
      <c r="M30" s="2">
        <f t="shared" si="24"/>
        <v>24036.5711008</v>
      </c>
      <c r="N30" s="2">
        <f>(H30+I30)*2*8</f>
        <v>2576</v>
      </c>
      <c r="O30" s="2">
        <f t="shared" si="25"/>
        <v>19932.428325599998</v>
      </c>
      <c r="P30" s="2">
        <f t="shared" si="19"/>
        <v>26837.5711008</v>
      </c>
      <c r="Q30" s="2">
        <f t="shared" si="26"/>
        <v>784.74127266141727</v>
      </c>
      <c r="R30" s="2">
        <f t="shared" si="26"/>
        <v>1056.597287433071</v>
      </c>
      <c r="S30" s="2">
        <f t="shared" si="27"/>
        <v>1841.3385600944882</v>
      </c>
      <c r="T30" s="3">
        <f t="shared" si="28"/>
        <v>153.44488000787402</v>
      </c>
      <c r="V30" s="8">
        <f t="shared" si="29"/>
        <v>1900</v>
      </c>
      <c r="W30" s="9">
        <f t="shared" si="30"/>
        <v>784.74127266141727</v>
      </c>
      <c r="X30" s="10">
        <f t="shared" si="31"/>
        <v>65.395106055118106</v>
      </c>
      <c r="Y30" s="9">
        <f t="shared" si="32"/>
        <v>1056.597287433071</v>
      </c>
      <c r="Z30" s="10">
        <f t="shared" si="33"/>
        <v>88.049773952755913</v>
      </c>
      <c r="AA30" s="9">
        <f t="shared" si="34"/>
        <v>1841.3385600944882</v>
      </c>
      <c r="AB30" s="14">
        <f t="shared" si="35"/>
        <v>153.44488000787402</v>
      </c>
      <c r="AC30" s="15">
        <f t="shared" si="17"/>
        <v>21.945179261491514</v>
      </c>
    </row>
    <row r="31" spans="1:29" ht="18.75" x14ac:dyDescent="0.25">
      <c r="B31" s="11">
        <v>2000</v>
      </c>
      <c r="C31" s="1">
        <v>2024</v>
      </c>
      <c r="D31" s="2">
        <f t="shared" si="20"/>
        <v>6323.4284852000001</v>
      </c>
      <c r="E31" s="2">
        <v>1625</v>
      </c>
      <c r="F31" s="2">
        <v>225</v>
      </c>
      <c r="G31" s="2">
        <v>12</v>
      </c>
      <c r="H31" s="2">
        <v>125</v>
      </c>
      <c r="I31" s="2">
        <v>36</v>
      </c>
      <c r="J31" s="2">
        <f t="shared" si="21"/>
        <v>1905</v>
      </c>
      <c r="K31" s="2">
        <f t="shared" si="22"/>
        <v>18970.285455600002</v>
      </c>
      <c r="L31" s="2">
        <f t="shared" si="23"/>
        <v>225</v>
      </c>
      <c r="M31" s="2">
        <f t="shared" si="24"/>
        <v>25293.7139408</v>
      </c>
      <c r="N31" s="2">
        <f>(H31+I31)*2*8</f>
        <v>2576</v>
      </c>
      <c r="O31" s="2">
        <f t="shared" si="25"/>
        <v>20875.285455600002</v>
      </c>
      <c r="P31" s="2">
        <f t="shared" si="19"/>
        <v>28094.7139408</v>
      </c>
      <c r="Q31" s="2">
        <f t="shared" si="26"/>
        <v>821.86163211023631</v>
      </c>
      <c r="R31" s="2">
        <f t="shared" si="26"/>
        <v>1106.0911000314961</v>
      </c>
      <c r="S31" s="2">
        <f t="shared" si="27"/>
        <v>1927.9527321417324</v>
      </c>
      <c r="T31" s="3">
        <f t="shared" si="28"/>
        <v>160.66272767847769</v>
      </c>
      <c r="V31" s="8">
        <f t="shared" si="29"/>
        <v>2000</v>
      </c>
      <c r="W31" s="9">
        <f t="shared" si="30"/>
        <v>821.86163211023631</v>
      </c>
      <c r="X31" s="10">
        <f t="shared" si="31"/>
        <v>68.488469342519693</v>
      </c>
      <c r="Y31" s="9">
        <f t="shared" si="32"/>
        <v>1106.0911000314961</v>
      </c>
      <c r="Z31" s="10">
        <f t="shared" si="33"/>
        <v>92.174258335958015</v>
      </c>
      <c r="AA31" s="9">
        <f t="shared" si="34"/>
        <v>1927.9527321417324</v>
      </c>
      <c r="AB31" s="14">
        <f t="shared" si="35"/>
        <v>160.66272767847772</v>
      </c>
      <c r="AC31" s="15">
        <f t="shared" si="17"/>
        <v>23.092939683117645</v>
      </c>
    </row>
    <row r="32" spans="1:29" ht="18.75" x14ac:dyDescent="0.25">
      <c r="B32" s="11">
        <v>2100</v>
      </c>
      <c r="C32" s="1">
        <v>2124</v>
      </c>
      <c r="D32" s="2">
        <f t="shared" si="20"/>
        <v>6637.7141952000002</v>
      </c>
      <c r="E32" s="2">
        <v>1625</v>
      </c>
      <c r="F32" s="2">
        <v>225</v>
      </c>
      <c r="G32" s="2">
        <v>12</v>
      </c>
      <c r="H32" s="2">
        <v>125</v>
      </c>
      <c r="I32" s="2">
        <v>40</v>
      </c>
      <c r="J32" s="2">
        <f t="shared" si="21"/>
        <v>1905</v>
      </c>
      <c r="K32" s="2">
        <f t="shared" si="22"/>
        <v>19913.142585599999</v>
      </c>
      <c r="L32" s="2">
        <f t="shared" si="23"/>
        <v>225</v>
      </c>
      <c r="M32" s="2">
        <f t="shared" si="24"/>
        <v>26550.856780800001</v>
      </c>
      <c r="N32" s="2">
        <f t="shared" ref="N32:N41" si="36">(H32+I32)*2*12</f>
        <v>3960</v>
      </c>
      <c r="O32" s="2">
        <f t="shared" si="25"/>
        <v>21818.142585599999</v>
      </c>
      <c r="P32" s="2">
        <f t="shared" si="19"/>
        <v>30735.856780800001</v>
      </c>
      <c r="Q32" s="2">
        <f t="shared" si="26"/>
        <v>858.98199155905513</v>
      </c>
      <c r="R32" s="2">
        <f t="shared" si="26"/>
        <v>1210.0731016062994</v>
      </c>
      <c r="S32" s="2">
        <f t="shared" si="27"/>
        <v>2069.0550931653543</v>
      </c>
      <c r="T32" s="3">
        <f t="shared" si="28"/>
        <v>172.42125776377952</v>
      </c>
      <c r="V32" s="8">
        <f t="shared" si="29"/>
        <v>2100</v>
      </c>
      <c r="W32" s="9">
        <f t="shared" si="30"/>
        <v>858.98199155905513</v>
      </c>
      <c r="X32" s="10">
        <f t="shared" si="31"/>
        <v>71.581832629921266</v>
      </c>
      <c r="Y32" s="9">
        <f t="shared" si="32"/>
        <v>1210.0731016062994</v>
      </c>
      <c r="Z32" s="10">
        <f t="shared" si="33"/>
        <v>100.83942513385828</v>
      </c>
      <c r="AA32" s="9">
        <f t="shared" si="34"/>
        <v>2069.0550931653543</v>
      </c>
      <c r="AB32" s="14">
        <f t="shared" si="35"/>
        <v>172.42125776377955</v>
      </c>
      <c r="AC32" s="15">
        <f t="shared" si="17"/>
        <v>24.240700104743766</v>
      </c>
    </row>
    <row r="33" spans="2:29" ht="18.75" x14ac:dyDescent="0.25">
      <c r="B33" s="11">
        <v>2200</v>
      </c>
      <c r="C33" s="1">
        <v>2232</v>
      </c>
      <c r="D33" s="2">
        <f t="shared" si="20"/>
        <v>6964.5713335999999</v>
      </c>
      <c r="E33" s="2">
        <v>1625</v>
      </c>
      <c r="F33" s="2">
        <v>225</v>
      </c>
      <c r="G33" s="2">
        <v>16</v>
      </c>
      <c r="H33" s="2">
        <v>125</v>
      </c>
      <c r="I33" s="2">
        <v>40</v>
      </c>
      <c r="J33" s="2">
        <f t="shared" si="21"/>
        <v>1905</v>
      </c>
      <c r="K33" s="2">
        <f t="shared" si="22"/>
        <v>20893.714000799999</v>
      </c>
      <c r="L33" s="2">
        <f t="shared" si="23"/>
        <v>225</v>
      </c>
      <c r="M33" s="2">
        <f t="shared" si="24"/>
        <v>27858.2853344</v>
      </c>
      <c r="N33" s="2">
        <f t="shared" si="36"/>
        <v>3960</v>
      </c>
      <c r="O33" s="2">
        <f t="shared" si="25"/>
        <v>22798.714000799999</v>
      </c>
      <c r="P33" s="2">
        <f t="shared" si="19"/>
        <v>32043.2853344</v>
      </c>
      <c r="Q33" s="2">
        <f t="shared" si="26"/>
        <v>897.58716538582678</v>
      </c>
      <c r="R33" s="2">
        <f t="shared" si="26"/>
        <v>1261.5466667086614</v>
      </c>
      <c r="S33" s="2">
        <f t="shared" si="27"/>
        <v>2159.1338320944883</v>
      </c>
      <c r="T33" s="3">
        <f t="shared" si="28"/>
        <v>179.92781934120737</v>
      </c>
      <c r="V33" s="8">
        <f t="shared" si="29"/>
        <v>2200</v>
      </c>
      <c r="W33" s="9">
        <f t="shared" si="30"/>
        <v>897.58716538582678</v>
      </c>
      <c r="X33" s="10">
        <f t="shared" si="31"/>
        <v>74.798930448818894</v>
      </c>
      <c r="Y33" s="9">
        <f t="shared" si="32"/>
        <v>1261.5466667086614</v>
      </c>
      <c r="Z33" s="10">
        <f t="shared" si="33"/>
        <v>105.12888889238845</v>
      </c>
      <c r="AA33" s="9">
        <f t="shared" si="34"/>
        <v>2159.1338320944883</v>
      </c>
      <c r="AB33" s="14">
        <f t="shared" si="35"/>
        <v>179.92781934120734</v>
      </c>
      <c r="AC33" s="15">
        <f t="shared" si="17"/>
        <v>25.434370943234939</v>
      </c>
    </row>
    <row r="34" spans="2:29" ht="18.75" x14ac:dyDescent="0.25">
      <c r="B34" s="11">
        <v>2300</v>
      </c>
      <c r="C34" s="1">
        <v>2332</v>
      </c>
      <c r="D34" s="2">
        <f t="shared" si="20"/>
        <v>7278.8570436</v>
      </c>
      <c r="E34" s="2">
        <v>1625</v>
      </c>
      <c r="F34" s="2">
        <v>225</v>
      </c>
      <c r="G34" s="2">
        <v>16</v>
      </c>
      <c r="H34" s="2">
        <v>125</v>
      </c>
      <c r="I34" s="2">
        <v>40</v>
      </c>
      <c r="J34" s="2">
        <f t="shared" si="21"/>
        <v>1905</v>
      </c>
      <c r="K34" s="2">
        <f t="shared" si="22"/>
        <v>21836.571130799999</v>
      </c>
      <c r="L34" s="2">
        <f t="shared" si="23"/>
        <v>225</v>
      </c>
      <c r="M34" s="2">
        <f t="shared" si="24"/>
        <v>29115.4281744</v>
      </c>
      <c r="N34" s="2">
        <f t="shared" si="36"/>
        <v>3960</v>
      </c>
      <c r="O34" s="2">
        <f t="shared" si="25"/>
        <v>23741.571130799999</v>
      </c>
      <c r="P34" s="2">
        <f t="shared" si="19"/>
        <v>33300.428174400004</v>
      </c>
      <c r="Q34" s="2">
        <f t="shared" si="26"/>
        <v>934.70752483464571</v>
      </c>
      <c r="R34" s="2">
        <f t="shared" si="26"/>
        <v>1311.0404793070868</v>
      </c>
      <c r="S34" s="2">
        <f t="shared" si="27"/>
        <v>2245.7480041417325</v>
      </c>
      <c r="T34" s="3">
        <f t="shared" si="28"/>
        <v>187.14566701181104</v>
      </c>
      <c r="V34" s="8">
        <f t="shared" si="29"/>
        <v>2300</v>
      </c>
      <c r="W34" s="9">
        <f t="shared" si="30"/>
        <v>934.70752483464571</v>
      </c>
      <c r="X34" s="10">
        <f t="shared" si="31"/>
        <v>77.892293736220481</v>
      </c>
      <c r="Y34" s="9">
        <f t="shared" si="32"/>
        <v>1311.0404793070868</v>
      </c>
      <c r="Z34" s="10">
        <f t="shared" si="33"/>
        <v>109.25337327559056</v>
      </c>
      <c r="AA34" s="9">
        <f t="shared" si="34"/>
        <v>2245.7480041417325</v>
      </c>
      <c r="AB34" s="14">
        <f t="shared" si="35"/>
        <v>187.14566701181104</v>
      </c>
      <c r="AC34" s="15">
        <f t="shared" si="17"/>
        <v>26.582131364861063</v>
      </c>
    </row>
    <row r="35" spans="2:29" ht="18.75" x14ac:dyDescent="0.25">
      <c r="B35" s="11">
        <v>2400</v>
      </c>
      <c r="C35" s="1">
        <v>2432</v>
      </c>
      <c r="D35" s="2">
        <f t="shared" si="20"/>
        <v>7593.1427536000001</v>
      </c>
      <c r="E35" s="2">
        <v>1625</v>
      </c>
      <c r="F35" s="2">
        <v>225</v>
      </c>
      <c r="G35" s="2">
        <v>16</v>
      </c>
      <c r="H35" s="2">
        <v>125</v>
      </c>
      <c r="I35" s="2">
        <v>40</v>
      </c>
      <c r="J35" s="2">
        <f t="shared" si="21"/>
        <v>1905</v>
      </c>
      <c r="K35" s="2">
        <f t="shared" si="22"/>
        <v>22779.428260799999</v>
      </c>
      <c r="L35" s="2">
        <f t="shared" si="23"/>
        <v>225</v>
      </c>
      <c r="M35" s="2">
        <f t="shared" si="24"/>
        <v>30372.5710144</v>
      </c>
      <c r="N35" s="2">
        <f t="shared" si="36"/>
        <v>3960</v>
      </c>
      <c r="O35" s="2">
        <f t="shared" si="25"/>
        <v>24684.428260799999</v>
      </c>
      <c r="P35" s="2">
        <f t="shared" si="19"/>
        <v>34557.571014400004</v>
      </c>
      <c r="Q35" s="2">
        <f t="shared" si="26"/>
        <v>971.82788428346464</v>
      </c>
      <c r="R35" s="2">
        <f t="shared" si="26"/>
        <v>1360.534291905512</v>
      </c>
      <c r="S35" s="2">
        <f t="shared" si="27"/>
        <v>2332.3621761889767</v>
      </c>
      <c r="T35" s="3">
        <f t="shared" si="28"/>
        <v>194.36351468241472</v>
      </c>
      <c r="V35" s="8">
        <f t="shared" si="29"/>
        <v>2400</v>
      </c>
      <c r="W35" s="9">
        <f t="shared" si="30"/>
        <v>971.82788428346464</v>
      </c>
      <c r="X35" s="10">
        <f t="shared" si="31"/>
        <v>80.985657023622053</v>
      </c>
      <c r="Y35" s="9">
        <f t="shared" si="32"/>
        <v>1360.534291905512</v>
      </c>
      <c r="Z35" s="10">
        <f t="shared" si="33"/>
        <v>113.37785765879266</v>
      </c>
      <c r="AA35" s="9">
        <f t="shared" si="34"/>
        <v>2332.3621761889767</v>
      </c>
      <c r="AB35" s="14">
        <f t="shared" si="35"/>
        <v>194.36351468241472</v>
      </c>
      <c r="AC35" s="15">
        <f t="shared" si="17"/>
        <v>27.729891786487187</v>
      </c>
    </row>
    <row r="36" spans="2:29" ht="18.75" x14ac:dyDescent="0.25">
      <c r="B36" s="11">
        <v>2500</v>
      </c>
      <c r="C36" s="1">
        <v>2532</v>
      </c>
      <c r="D36" s="2">
        <f t="shared" si="20"/>
        <v>7907.4284636000002</v>
      </c>
      <c r="E36" s="2">
        <v>1625</v>
      </c>
      <c r="F36" s="2">
        <v>225</v>
      </c>
      <c r="G36" s="2">
        <v>16</v>
      </c>
      <c r="H36" s="2">
        <v>125</v>
      </c>
      <c r="I36" s="2">
        <v>40</v>
      </c>
      <c r="J36" s="2">
        <f t="shared" si="21"/>
        <v>1905</v>
      </c>
      <c r="K36" s="2">
        <f t="shared" si="22"/>
        <v>23722.2853908</v>
      </c>
      <c r="L36" s="2">
        <f t="shared" si="23"/>
        <v>225</v>
      </c>
      <c r="M36" s="2">
        <f t="shared" si="24"/>
        <v>31629.713854400001</v>
      </c>
      <c r="N36" s="2">
        <f t="shared" si="36"/>
        <v>3960</v>
      </c>
      <c r="O36" s="2">
        <f t="shared" si="25"/>
        <v>25627.2853908</v>
      </c>
      <c r="P36" s="2">
        <f t="shared" si="19"/>
        <v>35814.713854400004</v>
      </c>
      <c r="Q36" s="2">
        <f t="shared" si="26"/>
        <v>1008.9482437322835</v>
      </c>
      <c r="R36" s="2">
        <f t="shared" si="26"/>
        <v>1410.0281045039374</v>
      </c>
      <c r="S36" s="2">
        <f t="shared" si="27"/>
        <v>2418.9763482362209</v>
      </c>
      <c r="T36" s="3">
        <f t="shared" si="28"/>
        <v>201.58136235301842</v>
      </c>
      <c r="V36" s="8">
        <f t="shared" si="29"/>
        <v>2500</v>
      </c>
      <c r="W36" s="9">
        <f t="shared" si="30"/>
        <v>1008.9482437322835</v>
      </c>
      <c r="X36" s="10">
        <f t="shared" si="31"/>
        <v>84.079020311023626</v>
      </c>
      <c r="Y36" s="9">
        <f t="shared" si="32"/>
        <v>1410.0281045039374</v>
      </c>
      <c r="Z36" s="10">
        <f t="shared" si="33"/>
        <v>117.50234204199478</v>
      </c>
      <c r="AA36" s="9">
        <f t="shared" si="34"/>
        <v>2418.9763482362209</v>
      </c>
      <c r="AB36" s="14">
        <f t="shared" si="35"/>
        <v>201.58136235301839</v>
      </c>
      <c r="AC36" s="15">
        <f t="shared" si="17"/>
        <v>28.877652208113314</v>
      </c>
    </row>
    <row r="37" spans="2:29" ht="18.75" x14ac:dyDescent="0.25">
      <c r="B37" s="11">
        <v>2600</v>
      </c>
      <c r="C37" s="1">
        <v>2632</v>
      </c>
      <c r="D37" s="2">
        <f t="shared" si="20"/>
        <v>8221.7141735999994</v>
      </c>
      <c r="E37" s="2">
        <v>1625</v>
      </c>
      <c r="F37" s="2">
        <v>225</v>
      </c>
      <c r="G37" s="2">
        <v>16</v>
      </c>
      <c r="H37" s="2">
        <v>125</v>
      </c>
      <c r="I37" s="2">
        <v>40</v>
      </c>
      <c r="J37" s="2">
        <f t="shared" si="21"/>
        <v>1905</v>
      </c>
      <c r="K37" s="2">
        <f t="shared" si="22"/>
        <v>24665.1425208</v>
      </c>
      <c r="L37" s="2">
        <f t="shared" si="23"/>
        <v>225</v>
      </c>
      <c r="M37" s="2">
        <f t="shared" si="24"/>
        <v>32886.856694399998</v>
      </c>
      <c r="N37" s="2">
        <f t="shared" si="36"/>
        <v>3960</v>
      </c>
      <c r="O37" s="2">
        <f t="shared" si="25"/>
        <v>26570.1425208</v>
      </c>
      <c r="P37" s="2">
        <f t="shared" si="19"/>
        <v>37071.856694399998</v>
      </c>
      <c r="Q37" s="2">
        <f t="shared" si="26"/>
        <v>1046.0686031811024</v>
      </c>
      <c r="R37" s="2">
        <f t="shared" si="26"/>
        <v>1459.5219171023623</v>
      </c>
      <c r="S37" s="2">
        <f t="shared" si="27"/>
        <v>2505.5905202834647</v>
      </c>
      <c r="T37" s="3">
        <f t="shared" si="28"/>
        <v>208.79921002362207</v>
      </c>
      <c r="V37" s="8">
        <f t="shared" si="29"/>
        <v>2600</v>
      </c>
      <c r="W37" s="9">
        <f t="shared" si="30"/>
        <v>1046.0686031811024</v>
      </c>
      <c r="X37" s="10">
        <f t="shared" si="31"/>
        <v>87.172383598425199</v>
      </c>
      <c r="Y37" s="9">
        <f t="shared" si="32"/>
        <v>1459.5219171023623</v>
      </c>
      <c r="Z37" s="10">
        <f t="shared" si="33"/>
        <v>121.62682642519685</v>
      </c>
      <c r="AA37" s="9">
        <f t="shared" si="34"/>
        <v>2505.5905202834647</v>
      </c>
      <c r="AB37" s="14">
        <f t="shared" si="35"/>
        <v>208.79921002362204</v>
      </c>
      <c r="AC37" s="15">
        <f t="shared" si="17"/>
        <v>30.025412629739442</v>
      </c>
    </row>
    <row r="38" spans="2:29" ht="18.75" x14ac:dyDescent="0.25">
      <c r="B38" s="11">
        <v>2700</v>
      </c>
      <c r="C38" s="1">
        <v>2732</v>
      </c>
      <c r="D38" s="2">
        <f t="shared" si="20"/>
        <v>8535.9998835999995</v>
      </c>
      <c r="E38" s="2">
        <v>1625</v>
      </c>
      <c r="F38" s="2">
        <v>225</v>
      </c>
      <c r="G38" s="2">
        <v>16</v>
      </c>
      <c r="H38" s="2">
        <v>125</v>
      </c>
      <c r="I38" s="2">
        <v>40</v>
      </c>
      <c r="J38" s="2">
        <f t="shared" si="21"/>
        <v>1905</v>
      </c>
      <c r="K38" s="2">
        <f t="shared" si="22"/>
        <v>25607.999650799997</v>
      </c>
      <c r="L38" s="2">
        <f t="shared" si="23"/>
        <v>225</v>
      </c>
      <c r="M38" s="2">
        <f t="shared" si="24"/>
        <v>34143.999534399998</v>
      </c>
      <c r="N38" s="2">
        <f t="shared" si="36"/>
        <v>3960</v>
      </c>
      <c r="O38" s="2">
        <f t="shared" si="25"/>
        <v>27512.999650799997</v>
      </c>
      <c r="P38" s="2">
        <f t="shared" si="19"/>
        <v>38328.999534399998</v>
      </c>
      <c r="Q38" s="2">
        <f t="shared" si="26"/>
        <v>1083.1889626299212</v>
      </c>
      <c r="R38" s="2">
        <f t="shared" si="26"/>
        <v>1509.0157297007875</v>
      </c>
      <c r="S38" s="2">
        <f t="shared" si="27"/>
        <v>2592.2046923307089</v>
      </c>
      <c r="T38" s="3">
        <f t="shared" si="28"/>
        <v>216.01705769422574</v>
      </c>
      <c r="V38" s="8">
        <f t="shared" si="29"/>
        <v>2700</v>
      </c>
      <c r="W38" s="9">
        <f t="shared" si="30"/>
        <v>1083.1889626299212</v>
      </c>
      <c r="X38" s="10">
        <f t="shared" si="31"/>
        <v>90.265746885826772</v>
      </c>
      <c r="Y38" s="9">
        <f t="shared" si="32"/>
        <v>1509.0157297007875</v>
      </c>
      <c r="Z38" s="10">
        <f t="shared" si="33"/>
        <v>125.75131080839896</v>
      </c>
      <c r="AA38" s="9">
        <f t="shared" si="34"/>
        <v>2592.2046923307089</v>
      </c>
      <c r="AB38" s="14">
        <f t="shared" si="35"/>
        <v>216.01705769422574</v>
      </c>
      <c r="AC38" s="15">
        <f t="shared" si="17"/>
        <v>31.173173051365559</v>
      </c>
    </row>
    <row r="39" spans="2:29" ht="18.75" x14ac:dyDescent="0.25">
      <c r="B39" s="11">
        <v>2800</v>
      </c>
      <c r="C39" s="1">
        <v>2832</v>
      </c>
      <c r="D39" s="2">
        <f t="shared" si="20"/>
        <v>8850.2855935999996</v>
      </c>
      <c r="E39" s="2">
        <v>1625</v>
      </c>
      <c r="F39" s="2">
        <v>225</v>
      </c>
      <c r="G39" s="2">
        <v>16</v>
      </c>
      <c r="H39" s="2">
        <v>125</v>
      </c>
      <c r="I39" s="2">
        <v>40</v>
      </c>
      <c r="J39" s="2">
        <f t="shared" si="21"/>
        <v>1905</v>
      </c>
      <c r="K39" s="2">
        <f t="shared" si="22"/>
        <v>26550.856780800001</v>
      </c>
      <c r="L39" s="2">
        <f t="shared" si="23"/>
        <v>225</v>
      </c>
      <c r="M39" s="2">
        <f t="shared" si="24"/>
        <v>35401.142374399999</v>
      </c>
      <c r="N39" s="2">
        <f t="shared" si="36"/>
        <v>3960</v>
      </c>
      <c r="O39" s="2">
        <f t="shared" si="25"/>
        <v>28455.856780800001</v>
      </c>
      <c r="P39" s="2">
        <f t="shared" si="19"/>
        <v>39586.142374399999</v>
      </c>
      <c r="Q39" s="2">
        <f t="shared" si="26"/>
        <v>1120.3093220787403</v>
      </c>
      <c r="R39" s="2">
        <f t="shared" si="26"/>
        <v>1558.5095422992126</v>
      </c>
      <c r="S39" s="2">
        <f t="shared" si="27"/>
        <v>2678.8188643779531</v>
      </c>
      <c r="T39" s="3">
        <f t="shared" si="28"/>
        <v>223.23490536482942</v>
      </c>
      <c r="V39" s="8">
        <f t="shared" si="29"/>
        <v>2800</v>
      </c>
      <c r="W39" s="9">
        <f t="shared" si="30"/>
        <v>1120.3093220787403</v>
      </c>
      <c r="X39" s="10">
        <f t="shared" si="31"/>
        <v>93.359110173228359</v>
      </c>
      <c r="Y39" s="9">
        <f t="shared" si="32"/>
        <v>1558.5095422992126</v>
      </c>
      <c r="Z39" s="10">
        <f t="shared" si="33"/>
        <v>129.87579519160104</v>
      </c>
      <c r="AA39" s="9">
        <f t="shared" si="34"/>
        <v>2678.8188643779531</v>
      </c>
      <c r="AB39" s="14">
        <f t="shared" si="35"/>
        <v>223.23490536482939</v>
      </c>
      <c r="AC39" s="15">
        <f t="shared" si="17"/>
        <v>32.32093347299169</v>
      </c>
    </row>
    <row r="40" spans="2:29" ht="18.75" x14ac:dyDescent="0.25">
      <c r="B40" s="11">
        <v>2900</v>
      </c>
      <c r="C40" s="1">
        <v>2932</v>
      </c>
      <c r="D40" s="2">
        <f t="shared" si="20"/>
        <v>9164.5713035999997</v>
      </c>
      <c r="E40" s="2">
        <v>1625</v>
      </c>
      <c r="F40" s="2">
        <v>225</v>
      </c>
      <c r="G40" s="2">
        <v>16</v>
      </c>
      <c r="H40" s="2">
        <v>125</v>
      </c>
      <c r="I40" s="2">
        <v>40</v>
      </c>
      <c r="J40" s="2">
        <f t="shared" si="21"/>
        <v>1905</v>
      </c>
      <c r="K40" s="2">
        <f t="shared" si="22"/>
        <v>27493.713910799997</v>
      </c>
      <c r="L40" s="2">
        <f t="shared" si="23"/>
        <v>225</v>
      </c>
      <c r="M40" s="2">
        <f t="shared" si="24"/>
        <v>36658.285214399999</v>
      </c>
      <c r="N40" s="2">
        <f t="shared" si="36"/>
        <v>3960</v>
      </c>
      <c r="O40" s="2">
        <f t="shared" si="25"/>
        <v>29398.713910799997</v>
      </c>
      <c r="P40" s="2">
        <f t="shared" si="19"/>
        <v>40843.285214399999</v>
      </c>
      <c r="Q40" s="2">
        <f t="shared" si="26"/>
        <v>1157.4296815275591</v>
      </c>
      <c r="R40" s="2">
        <f t="shared" si="26"/>
        <v>1608.0033548976378</v>
      </c>
      <c r="S40" s="2">
        <f t="shared" si="27"/>
        <v>2765.4330364251969</v>
      </c>
      <c r="T40" s="3">
        <f t="shared" si="28"/>
        <v>230.45275303543306</v>
      </c>
      <c r="V40" s="8">
        <f t="shared" si="29"/>
        <v>2900</v>
      </c>
      <c r="W40" s="9">
        <f t="shared" si="30"/>
        <v>1157.4296815275591</v>
      </c>
      <c r="X40" s="10">
        <f t="shared" si="31"/>
        <v>96.452473460629918</v>
      </c>
      <c r="Y40" s="9">
        <f t="shared" si="32"/>
        <v>1608.0033548976378</v>
      </c>
      <c r="Z40" s="10">
        <f t="shared" si="33"/>
        <v>134.00027957480316</v>
      </c>
      <c r="AA40" s="9">
        <f t="shared" si="34"/>
        <v>2765.4330364251969</v>
      </c>
      <c r="AB40" s="14">
        <f t="shared" si="35"/>
        <v>230.45275303543309</v>
      </c>
      <c r="AC40" s="15">
        <f t="shared" si="17"/>
        <v>33.468693894617815</v>
      </c>
    </row>
    <row r="41" spans="2:29" ht="18.75" x14ac:dyDescent="0.25">
      <c r="B41" s="11">
        <v>3000</v>
      </c>
      <c r="C41" s="1">
        <v>3032</v>
      </c>
      <c r="D41" s="2">
        <f t="shared" si="20"/>
        <v>9478.8570135999998</v>
      </c>
      <c r="E41" s="2">
        <v>1625</v>
      </c>
      <c r="F41" s="2">
        <v>225</v>
      </c>
      <c r="G41" s="2">
        <v>16</v>
      </c>
      <c r="H41" s="2">
        <v>125</v>
      </c>
      <c r="I41" s="2">
        <v>40</v>
      </c>
      <c r="J41" s="2">
        <f t="shared" si="21"/>
        <v>1905</v>
      </c>
      <c r="K41" s="2">
        <f t="shared" si="22"/>
        <v>28436.571040800001</v>
      </c>
      <c r="L41" s="2">
        <f t="shared" si="23"/>
        <v>225</v>
      </c>
      <c r="M41" s="2">
        <f>D41*4</f>
        <v>37915.428054399999</v>
      </c>
      <c r="N41" s="2">
        <f t="shared" si="36"/>
        <v>3960</v>
      </c>
      <c r="O41" s="2">
        <f t="shared" si="25"/>
        <v>30341.571040800001</v>
      </c>
      <c r="P41" s="2">
        <f t="shared" si="19"/>
        <v>42100.428054399999</v>
      </c>
      <c r="Q41" s="2">
        <f t="shared" si="26"/>
        <v>1194.5500409763781</v>
      </c>
      <c r="R41" s="2">
        <f t="shared" si="26"/>
        <v>1657.497167496063</v>
      </c>
      <c r="S41" s="2">
        <f t="shared" si="27"/>
        <v>2852.0472084724411</v>
      </c>
      <c r="T41" s="3">
        <f t="shared" si="28"/>
        <v>237.67060070603677</v>
      </c>
      <c r="V41" s="8">
        <f t="shared" si="29"/>
        <v>3000</v>
      </c>
      <c r="W41" s="9">
        <f t="shared" si="30"/>
        <v>1194.5500409763781</v>
      </c>
      <c r="X41" s="10">
        <f t="shared" si="31"/>
        <v>99.545836748031505</v>
      </c>
      <c r="Y41" s="9">
        <f t="shared" si="32"/>
        <v>1657.497167496063</v>
      </c>
      <c r="Z41" s="10">
        <f t="shared" si="33"/>
        <v>138.12476395800525</v>
      </c>
      <c r="AA41" s="9">
        <f t="shared" si="34"/>
        <v>2852.0472084724411</v>
      </c>
      <c r="AB41" s="14">
        <f t="shared" si="35"/>
        <v>237.67060070603674</v>
      </c>
      <c r="AC41" s="15">
        <f t="shared" si="17"/>
        <v>34.616454316243946</v>
      </c>
    </row>
  </sheetData>
  <mergeCells count="5">
    <mergeCell ref="J2:K2"/>
    <mergeCell ref="L2:N2"/>
    <mergeCell ref="B1:T1"/>
    <mergeCell ref="V1:AC1"/>
    <mergeCell ref="V2:AC2"/>
  </mergeCells>
  <pageMargins left="0.7" right="0.7" top="0.75" bottom="0.75" header="0.3" footer="0.3"/>
  <pageSetup paperSize="9" scale="45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Precise Engineers</cp:lastModifiedBy>
  <cp:lastPrinted>2019-12-08T08:52:09Z</cp:lastPrinted>
  <dcterms:created xsi:type="dcterms:W3CDTF">2019-10-22T03:53:17Z</dcterms:created>
  <dcterms:modified xsi:type="dcterms:W3CDTF">2026-07-20T11:14:07Z</dcterms:modified>
</cp:coreProperties>
</file>