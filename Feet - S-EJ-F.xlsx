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ESERVER\Design\OLD DESIGN 10-11\AI Developlment Swayam Singh\Master files\"/>
    </mc:Choice>
  </mc:AlternateContent>
  <xr:revisionPtr revIDLastSave="0" documentId="13_ncr:1_{745AF57A-D590-461C-8E98-DC405885FD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1" l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5" i="1"/>
  <c r="AC6" i="1"/>
  <c r="AC7" i="1"/>
  <c r="AC8" i="1"/>
  <c r="AC9" i="1"/>
  <c r="AC10" i="1"/>
  <c r="AC11" i="1"/>
  <c r="AC12" i="1"/>
  <c r="AC4" i="1"/>
  <c r="X4" i="1"/>
  <c r="AB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4" i="1"/>
  <c r="P4" i="1"/>
  <c r="K4" i="1"/>
  <c r="J4" i="1"/>
  <c r="AC26" i="1"/>
  <c r="D26" i="1"/>
  <c r="V25" i="1"/>
  <c r="N25" i="1"/>
  <c r="J25" i="1"/>
  <c r="D25" i="1"/>
  <c r="V24" i="1"/>
  <c r="N24" i="1"/>
  <c r="K24" i="1"/>
  <c r="J24" i="1"/>
  <c r="D24" i="1"/>
  <c r="V23" i="1"/>
  <c r="N23" i="1"/>
  <c r="J23" i="1"/>
  <c r="D23" i="1"/>
  <c r="V22" i="1"/>
  <c r="Q22" i="1"/>
  <c r="N22" i="1"/>
  <c r="K22" i="1"/>
  <c r="J22" i="1"/>
  <c r="D22" i="1"/>
  <c r="V21" i="1"/>
  <c r="N21" i="1"/>
  <c r="J21" i="1"/>
  <c r="D21" i="1"/>
  <c r="V20" i="1"/>
  <c r="N20" i="1"/>
  <c r="K20" i="1"/>
  <c r="J20" i="1"/>
  <c r="D20" i="1"/>
  <c r="V19" i="1"/>
  <c r="Q19" i="1"/>
  <c r="W19" i="1" s="1"/>
  <c r="X19" i="1" s="1"/>
  <c r="N19" i="1"/>
  <c r="K19" i="1"/>
  <c r="J19" i="1"/>
  <c r="D19" i="1"/>
  <c r="V18" i="1"/>
  <c r="N18" i="1"/>
  <c r="J18" i="1"/>
  <c r="D18" i="1"/>
  <c r="V17" i="1"/>
  <c r="N17" i="1"/>
  <c r="R17" i="1"/>
  <c r="Y17" i="1" s="1"/>
  <c r="J17" i="1"/>
  <c r="D17" i="1"/>
  <c r="V16" i="1"/>
  <c r="N16" i="1"/>
  <c r="R16" i="1"/>
  <c r="Y16" i="1" s="1"/>
  <c r="K16" i="1"/>
  <c r="J16" i="1"/>
  <c r="D16" i="1"/>
  <c r="V15" i="1"/>
  <c r="Q15" i="1"/>
  <c r="W15" i="1" s="1"/>
  <c r="X15" i="1" s="1"/>
  <c r="N15" i="1"/>
  <c r="K15" i="1"/>
  <c r="J15" i="1"/>
  <c r="D15" i="1"/>
  <c r="V14" i="1"/>
  <c r="N14" i="1"/>
  <c r="J14" i="1"/>
  <c r="D14" i="1"/>
  <c r="V13" i="1"/>
  <c r="N13" i="1"/>
  <c r="J13" i="1"/>
  <c r="D13" i="1"/>
  <c r="K13" i="1" s="1"/>
  <c r="V12" i="1"/>
  <c r="N12" i="1"/>
  <c r="J12" i="1"/>
  <c r="D12" i="1"/>
  <c r="V11" i="1"/>
  <c r="N11" i="1"/>
  <c r="J11" i="1"/>
  <c r="Q11" i="1" s="1"/>
  <c r="D11" i="1"/>
  <c r="K11" i="1" s="1"/>
  <c r="V10" i="1"/>
  <c r="N10" i="1"/>
  <c r="J10" i="1"/>
  <c r="D10" i="1"/>
  <c r="P10" i="1" s="1"/>
  <c r="R10" i="1" s="1"/>
  <c r="Y10" i="1" s="1"/>
  <c r="V9" i="1"/>
  <c r="P9" i="1"/>
  <c r="R9" i="1" s="1"/>
  <c r="Y9" i="1" s="1"/>
  <c r="N9" i="1"/>
  <c r="K9" i="1"/>
  <c r="J9" i="1"/>
  <c r="Q9" i="1" s="1"/>
  <c r="D9" i="1"/>
  <c r="V8" i="1"/>
  <c r="N8" i="1"/>
  <c r="J8" i="1"/>
  <c r="D8" i="1"/>
  <c r="P8" i="1" s="1"/>
  <c r="R8" i="1" s="1"/>
  <c r="Y8" i="1" s="1"/>
  <c r="V7" i="1"/>
  <c r="N7" i="1"/>
  <c r="P7" i="1"/>
  <c r="R7" i="1" s="1"/>
  <c r="Y7" i="1" s="1"/>
  <c r="J7" i="1"/>
  <c r="D7" i="1"/>
  <c r="K7" i="1" s="1"/>
  <c r="V6" i="1"/>
  <c r="N6" i="1"/>
  <c r="K6" i="1"/>
  <c r="J6" i="1"/>
  <c r="Q6" i="1" s="1"/>
  <c r="D6" i="1"/>
  <c r="V5" i="1"/>
  <c r="N5" i="1"/>
  <c r="K5" i="1"/>
  <c r="J5" i="1"/>
  <c r="Q5" i="1" s="1"/>
  <c r="D5" i="1"/>
  <c r="V4" i="1"/>
  <c r="N4" i="1"/>
  <c r="D4" i="1"/>
  <c r="P6" i="1" l="1"/>
  <c r="R6" i="1" s="1"/>
  <c r="Y6" i="1" s="1"/>
  <c r="Z6" i="1" s="1"/>
  <c r="P5" i="1"/>
  <c r="R5" i="1" s="1"/>
  <c r="Y5" i="1" s="1"/>
  <c r="Z5" i="1" s="1"/>
  <c r="P13" i="1"/>
  <c r="R13" i="1" s="1"/>
  <c r="Y13" i="1" s="1"/>
  <c r="R20" i="1"/>
  <c r="Y20" i="1" s="1"/>
  <c r="R4" i="1"/>
  <c r="Y4" i="1" s="1"/>
  <c r="Z4" i="1" s="1"/>
  <c r="K21" i="1"/>
  <c r="R21" i="1"/>
  <c r="Y21" i="1" s="1"/>
  <c r="K23" i="1"/>
  <c r="K25" i="1"/>
  <c r="K14" i="1"/>
  <c r="R15" i="1"/>
  <c r="Y15" i="1" s="1"/>
  <c r="AA15" i="1" s="1"/>
  <c r="K18" i="1"/>
  <c r="R19" i="1"/>
  <c r="Y19" i="1" s="1"/>
  <c r="AA19" i="1" s="1"/>
  <c r="Q16" i="1"/>
  <c r="W16" i="1" s="1"/>
  <c r="X16" i="1" s="1"/>
  <c r="K17" i="1"/>
  <c r="R18" i="1"/>
  <c r="Y18" i="1" s="1"/>
  <c r="Z18" i="1" s="1"/>
  <c r="Q20" i="1"/>
  <c r="W20" i="1" s="1"/>
  <c r="X20" i="1" s="1"/>
  <c r="W6" i="1"/>
  <c r="X6" i="1" s="1"/>
  <c r="Q7" i="1"/>
  <c r="Z8" i="1"/>
  <c r="Z10" i="1"/>
  <c r="W5" i="1"/>
  <c r="X5" i="1" s="1"/>
  <c r="Z7" i="1"/>
  <c r="W9" i="1"/>
  <c r="X9" i="1" s="1"/>
  <c r="S9" i="1"/>
  <c r="T9" i="1" s="1"/>
  <c r="W11" i="1"/>
  <c r="X11" i="1" s="1"/>
  <c r="Z13" i="1"/>
  <c r="Z19" i="1"/>
  <c r="AB19" i="1" s="1"/>
  <c r="W22" i="1"/>
  <c r="X22" i="1" s="1"/>
  <c r="Z9" i="1"/>
  <c r="P11" i="1"/>
  <c r="R11" i="1" s="1"/>
  <c r="Y11" i="1" s="1"/>
  <c r="Q12" i="1"/>
  <c r="Z17" i="1"/>
  <c r="Q13" i="1"/>
  <c r="AA16" i="1"/>
  <c r="Z16" i="1"/>
  <c r="K8" i="1"/>
  <c r="K10" i="1"/>
  <c r="P12" i="1"/>
  <c r="R12" i="1" s="1"/>
  <c r="Y12" i="1" s="1"/>
  <c r="K12" i="1"/>
  <c r="Q24" i="1"/>
  <c r="R22" i="1"/>
  <c r="Y22" i="1" s="1"/>
  <c r="Q23" i="1"/>
  <c r="R24" i="1"/>
  <c r="Y24" i="1" s="1"/>
  <c r="Q25" i="1"/>
  <c r="R23" i="1"/>
  <c r="Y23" i="1" s="1"/>
  <c r="R25" i="1"/>
  <c r="Y25" i="1" s="1"/>
  <c r="S19" i="1" l="1"/>
  <c r="T19" i="1" s="1"/>
  <c r="AA20" i="1"/>
  <c r="Z20" i="1"/>
  <c r="Z15" i="1"/>
  <c r="AB15" i="1" s="1"/>
  <c r="R14" i="1"/>
  <c r="Y14" i="1" s="1"/>
  <c r="Z14" i="1" s="1"/>
  <c r="S6" i="1"/>
  <c r="T6" i="1" s="1"/>
  <c r="S5" i="1"/>
  <c r="T5" i="1" s="1"/>
  <c r="Q21" i="1"/>
  <c r="Z21" i="1"/>
  <c r="S16" i="1"/>
  <c r="T16" i="1" s="1"/>
  <c r="S15" i="1"/>
  <c r="T15" i="1" s="1"/>
  <c r="AB20" i="1"/>
  <c r="AB16" i="1"/>
  <c r="S20" i="1"/>
  <c r="T20" i="1" s="1"/>
  <c r="Q17" i="1"/>
  <c r="Q18" i="1"/>
  <c r="Q14" i="1"/>
  <c r="Z23" i="1"/>
  <c r="W13" i="1"/>
  <c r="S13" i="1"/>
  <c r="T13" i="1" s="1"/>
  <c r="AA11" i="1"/>
  <c r="Z11" i="1"/>
  <c r="AB11" i="1" s="1"/>
  <c r="S11" i="1"/>
  <c r="T11" i="1" s="1"/>
  <c r="W23" i="1"/>
  <c r="X23" i="1" s="1"/>
  <c r="S23" i="1"/>
  <c r="T23" i="1" s="1"/>
  <c r="Q10" i="1"/>
  <c r="AA9" i="1"/>
  <c r="AA22" i="1"/>
  <c r="Z22" i="1"/>
  <c r="AB22" i="1" s="1"/>
  <c r="Z12" i="1"/>
  <c r="AA12" i="1"/>
  <c r="S22" i="1"/>
  <c r="T22" i="1" s="1"/>
  <c r="AB9" i="1"/>
  <c r="AB5" i="1"/>
  <c r="W7" i="1"/>
  <c r="S7" i="1"/>
  <c r="T7" i="1" s="1"/>
  <c r="Z24" i="1"/>
  <c r="Q8" i="1"/>
  <c r="Z25" i="1"/>
  <c r="W25" i="1"/>
  <c r="X25" i="1" s="1"/>
  <c r="S25" i="1"/>
  <c r="T25" i="1" s="1"/>
  <c r="W24" i="1"/>
  <c r="X24" i="1" s="1"/>
  <c r="S24" i="1"/>
  <c r="T24" i="1" s="1"/>
  <c r="S12" i="1"/>
  <c r="T12" i="1" s="1"/>
  <c r="W12" i="1"/>
  <c r="X12" i="1" s="1"/>
  <c r="AA5" i="1"/>
  <c r="Q4" i="1"/>
  <c r="AB6" i="1"/>
  <c r="AA6" i="1"/>
  <c r="AB24" i="1" l="1"/>
  <c r="AB12" i="1"/>
  <c r="AB25" i="1"/>
  <c r="W21" i="1"/>
  <c r="S21" i="1"/>
  <c r="T21" i="1" s="1"/>
  <c r="W18" i="1"/>
  <c r="S18" i="1"/>
  <c r="T18" i="1" s="1"/>
  <c r="W14" i="1"/>
  <c r="S14" i="1"/>
  <c r="T14" i="1" s="1"/>
  <c r="W17" i="1"/>
  <c r="S17" i="1"/>
  <c r="T17" i="1" s="1"/>
  <c r="W4" i="1"/>
  <c r="S4" i="1"/>
  <c r="T4" i="1" s="1"/>
  <c r="AA25" i="1"/>
  <c r="AA24" i="1"/>
  <c r="AB23" i="1"/>
  <c r="S8" i="1"/>
  <c r="T8" i="1" s="1"/>
  <c r="W8" i="1"/>
  <c r="X7" i="1"/>
  <c r="AB7" i="1" s="1"/>
  <c r="AA7" i="1"/>
  <c r="S10" i="1"/>
  <c r="T10" i="1" s="1"/>
  <c r="W10" i="1"/>
  <c r="X13" i="1"/>
  <c r="AB13" i="1" s="1"/>
  <c r="AA13" i="1"/>
  <c r="AA23" i="1"/>
  <c r="X21" i="1" l="1"/>
  <c r="AB21" i="1" s="1"/>
  <c r="AA21" i="1"/>
  <c r="X17" i="1"/>
  <c r="AB17" i="1" s="1"/>
  <c r="AA17" i="1"/>
  <c r="X18" i="1"/>
  <c r="AB18" i="1" s="1"/>
  <c r="AA18" i="1"/>
  <c r="X14" i="1"/>
  <c r="AB14" i="1" s="1"/>
  <c r="AA14" i="1"/>
  <c r="X8" i="1"/>
  <c r="AB8" i="1" s="1"/>
  <c r="AA8" i="1"/>
  <c r="X10" i="1"/>
  <c r="AB10" i="1" s="1"/>
  <c r="AA10" i="1"/>
  <c r="AA4" i="1"/>
</calcChain>
</file>

<file path=xl/sharedStrings.xml><?xml version="1.0" encoding="utf-8"?>
<sst xmlns="http://schemas.openxmlformats.org/spreadsheetml/2006/main" count="40" uniqueCount="33">
  <si>
    <t>Size</t>
  </si>
  <si>
    <t>Pipe OD</t>
  </si>
  <si>
    <t>Circum</t>
  </si>
  <si>
    <t>Bellows L/s</t>
  </si>
  <si>
    <t>Pipe length</t>
  </si>
  <si>
    <t>Pipe thickness</t>
  </si>
  <si>
    <t>Lug</t>
  </si>
  <si>
    <t>width</t>
  </si>
  <si>
    <t>Tig</t>
  </si>
  <si>
    <t>Mig</t>
  </si>
  <si>
    <t>Pipe Ls</t>
  </si>
  <si>
    <t>Pipe to flange</t>
  </si>
  <si>
    <t>Lugs</t>
  </si>
  <si>
    <t>thk</t>
  </si>
  <si>
    <t>TIG</t>
  </si>
  <si>
    <t>Total</t>
  </si>
  <si>
    <t>MIG</t>
  </si>
  <si>
    <t>Inch</t>
  </si>
  <si>
    <t>Inch/size</t>
  </si>
  <si>
    <t>Feet/Size</t>
  </si>
  <si>
    <t>Total MM</t>
  </si>
  <si>
    <t>Single Bellows Total welding details in MM, Inch, Feet</t>
  </si>
  <si>
    <t>Bellows+collar+sleeve Long Seam</t>
  </si>
  <si>
    <t>TIG         (Inch)</t>
  </si>
  <si>
    <t>MIG       (Inch)</t>
  </si>
  <si>
    <t>TIG         (Feet)</t>
  </si>
  <si>
    <t>MIG       (Feet)</t>
  </si>
  <si>
    <t>Total      (Inch)</t>
  </si>
  <si>
    <t>FOR PRODUCTION SUPERVISOR</t>
  </si>
  <si>
    <t>Bellows Total welding details in Inch, Feet. ( Standard Bellows Single with IS 1538 Flanges and 3 Limit Rods)</t>
  </si>
  <si>
    <t>Total   welding   (Feet)</t>
  </si>
  <si>
    <t>Drinding Sq. Feet</t>
  </si>
  <si>
    <t>Bellows to weldend + Sleeve to weldend C/s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</si>
</sst>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wrapText="1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3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41"/>
  <sheetViews>
    <sheetView tabSelected="1" topLeftCell="E1" workbookViewId="0">
      <pane ySplit="3" topLeftCell="A11" activePane="bottomLeft" state="frozen"/>
      <selection pane="bottomLeft" activeCell="AA12" sqref="AA12"/>
    </sheetView>
  </sheetViews>
  <sheetFormatPr defaultRowHeight="15" x14ac:dyDescent="0.25"/>
  <cols>
    <col min="4" max="4" width="9.42578125" customWidth="1"/>
    <col min="5" max="5" width="11.7109375" customWidth="1"/>
    <col min="6" max="6" width="12.140625" customWidth="1"/>
    <col min="7" max="7" width="14.85546875" customWidth="1"/>
    <col min="10" max="10" width="14.85546875" customWidth="1"/>
    <col min="11" max="11" width="19.7109375" customWidth="1"/>
    <col min="13" max="13" width="12.7109375" customWidth="1"/>
  </cols>
  <sheetData>
    <row r="1" spans="2:29" ht="26.25" customHeight="1" x14ac:dyDescent="0.25">
      <c r="B1" s="19" t="s">
        <v>21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V1" s="20" t="s">
        <v>28</v>
      </c>
      <c r="W1" s="21"/>
      <c r="X1" s="21"/>
      <c r="Y1" s="21"/>
      <c r="Z1" s="21"/>
      <c r="AA1" s="21"/>
      <c r="AB1" s="21"/>
      <c r="AC1" s="22"/>
    </row>
    <row r="2" spans="2:29" ht="48" customHeight="1" x14ac:dyDescent="0.3">
      <c r="B2" s="5"/>
      <c r="C2" s="5"/>
      <c r="D2" s="5"/>
      <c r="E2" s="5"/>
      <c r="F2" s="5"/>
      <c r="G2" s="5"/>
      <c r="H2" s="5" t="s">
        <v>6</v>
      </c>
      <c r="I2" s="5" t="s">
        <v>6</v>
      </c>
      <c r="J2" s="16" t="s">
        <v>8</v>
      </c>
      <c r="K2" s="17"/>
      <c r="L2" s="16" t="s">
        <v>9</v>
      </c>
      <c r="M2" s="18"/>
      <c r="N2" s="17"/>
      <c r="O2" s="5" t="s">
        <v>14</v>
      </c>
      <c r="P2" s="5" t="s">
        <v>16</v>
      </c>
      <c r="Q2" s="5" t="s">
        <v>14</v>
      </c>
      <c r="R2" s="5" t="s">
        <v>9</v>
      </c>
      <c r="S2" s="5" t="s">
        <v>15</v>
      </c>
      <c r="T2" s="5" t="s">
        <v>15</v>
      </c>
      <c r="V2" s="20" t="s">
        <v>29</v>
      </c>
      <c r="W2" s="21"/>
      <c r="X2" s="21"/>
      <c r="Y2" s="21"/>
      <c r="Z2" s="21"/>
      <c r="AA2" s="21"/>
      <c r="AB2" s="21"/>
      <c r="AC2" s="22"/>
    </row>
    <row r="3" spans="2:29" ht="75" x14ac:dyDescent="0.25">
      <c r="B3" s="6" t="s">
        <v>0</v>
      </c>
      <c r="C3" s="6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7</v>
      </c>
      <c r="I3" s="4" t="s">
        <v>13</v>
      </c>
      <c r="J3" s="4" t="s">
        <v>22</v>
      </c>
      <c r="K3" s="4" t="s">
        <v>32</v>
      </c>
      <c r="L3" s="4" t="s">
        <v>10</v>
      </c>
      <c r="M3" s="4" t="s">
        <v>11</v>
      </c>
      <c r="N3" s="4" t="s">
        <v>12</v>
      </c>
      <c r="O3" s="4" t="s">
        <v>20</v>
      </c>
      <c r="P3" s="4" t="s">
        <v>20</v>
      </c>
      <c r="Q3" s="4" t="s">
        <v>17</v>
      </c>
      <c r="R3" s="4" t="s">
        <v>17</v>
      </c>
      <c r="S3" s="4" t="s">
        <v>18</v>
      </c>
      <c r="T3" s="4" t="s">
        <v>19</v>
      </c>
      <c r="V3" s="4" t="s">
        <v>0</v>
      </c>
      <c r="W3" s="7" t="s">
        <v>23</v>
      </c>
      <c r="X3" s="7" t="s">
        <v>25</v>
      </c>
      <c r="Y3" s="7" t="s">
        <v>24</v>
      </c>
      <c r="Z3" s="7" t="s">
        <v>26</v>
      </c>
      <c r="AA3" s="7" t="s">
        <v>27</v>
      </c>
      <c r="AB3" s="12" t="s">
        <v>30</v>
      </c>
      <c r="AC3" s="13" t="s">
        <v>31</v>
      </c>
    </row>
    <row r="4" spans="2:29" ht="18.75" x14ac:dyDescent="0.25">
      <c r="B4" s="1">
        <v>50</v>
      </c>
      <c r="C4" s="1">
        <v>61</v>
      </c>
      <c r="D4" s="2">
        <f>C4*3.1428571</f>
        <v>191.71428310000002</v>
      </c>
      <c r="E4" s="2">
        <v>650</v>
      </c>
      <c r="F4" s="2">
        <v>0</v>
      </c>
      <c r="G4" s="2">
        <v>2.5</v>
      </c>
      <c r="H4" s="2">
        <v>0</v>
      </c>
      <c r="I4" s="2">
        <v>0</v>
      </c>
      <c r="J4" s="2">
        <f>E4+40+200</f>
        <v>890</v>
      </c>
      <c r="K4" s="2">
        <f>D4*3</f>
        <v>575.14284930000008</v>
      </c>
      <c r="L4" s="2">
        <v>150</v>
      </c>
      <c r="M4" s="2">
        <v>0</v>
      </c>
      <c r="N4" s="2">
        <f>(H4+I4)*2*6</f>
        <v>0</v>
      </c>
      <c r="O4" s="2">
        <f>SUM(J4:K4)+L4</f>
        <v>1615.1428493000001</v>
      </c>
      <c r="P4" s="2">
        <f>SUM(M4:N4)</f>
        <v>0</v>
      </c>
      <c r="Q4" s="2">
        <f>O4/25.4</f>
        <v>63.588301153543313</v>
      </c>
      <c r="R4" s="2">
        <f>P4/25.4</f>
        <v>0</v>
      </c>
      <c r="S4" s="2">
        <f>SUM(Q4:R4)</f>
        <v>63.588301153543313</v>
      </c>
      <c r="T4" s="3">
        <f>S4/12</f>
        <v>5.2990250961286094</v>
      </c>
      <c r="V4" s="8">
        <f>B4</f>
        <v>50</v>
      </c>
      <c r="W4" s="9">
        <f>Q4</f>
        <v>63.588301153543313</v>
      </c>
      <c r="X4" s="10">
        <f>W4/12</f>
        <v>5.2990250961286094</v>
      </c>
      <c r="Y4" s="9">
        <f>R4</f>
        <v>0</v>
      </c>
      <c r="Z4" s="10">
        <f>Y4/12</f>
        <v>0</v>
      </c>
      <c r="AA4" s="9">
        <f>Y4+W4</f>
        <v>63.588301153543313</v>
      </c>
      <c r="AB4" s="14">
        <f>X4+Z4</f>
        <v>5.2990250961286094</v>
      </c>
      <c r="AC4" s="23">
        <f>((D4*16)/92416)/2</f>
        <v>1.6595765503808865E-2</v>
      </c>
    </row>
    <row r="5" spans="2:29" ht="18.75" x14ac:dyDescent="0.25">
      <c r="B5" s="1">
        <v>80</v>
      </c>
      <c r="C5" s="1">
        <v>89</v>
      </c>
      <c r="D5" s="2">
        <f t="shared" ref="D5:D13" si="0">C5*3.1428571</f>
        <v>279.7142819</v>
      </c>
      <c r="E5" s="2">
        <v>650</v>
      </c>
      <c r="F5" s="2">
        <v>0</v>
      </c>
      <c r="G5" s="2">
        <v>2.5</v>
      </c>
      <c r="H5" s="2">
        <v>0</v>
      </c>
      <c r="I5" s="2">
        <v>0</v>
      </c>
      <c r="J5" s="2">
        <f t="shared" ref="J5:J25" si="1">E5+40+200</f>
        <v>890</v>
      </c>
      <c r="K5" s="2">
        <f t="shared" ref="K5:K25" si="2">D5*3</f>
        <v>839.14284569999995</v>
      </c>
      <c r="L5" s="2">
        <v>150</v>
      </c>
      <c r="M5" s="2">
        <v>0</v>
      </c>
      <c r="N5" s="2">
        <f t="shared" ref="N5:N25" si="3">(H5+I5)*2*6</f>
        <v>0</v>
      </c>
      <c r="O5" s="2">
        <f t="shared" ref="O5:O25" si="4">SUM(J5:K5)+L5</f>
        <v>1879.1428457</v>
      </c>
      <c r="P5" s="2">
        <f t="shared" ref="P5:P13" si="5">SUM(M5:N5)</f>
        <v>0</v>
      </c>
      <c r="Q5" s="2">
        <f t="shared" ref="Q5:R25" si="6">O5/25.4</f>
        <v>73.982001799212597</v>
      </c>
      <c r="R5" s="2">
        <f t="shared" si="6"/>
        <v>0</v>
      </c>
      <c r="S5" s="2">
        <f t="shared" ref="S5:S25" si="7">SUM(Q5:R5)</f>
        <v>73.982001799212597</v>
      </c>
      <c r="T5" s="3">
        <f t="shared" ref="T5:T24" si="8">S5/12</f>
        <v>6.16516681660105</v>
      </c>
      <c r="V5" s="8">
        <f t="shared" ref="V5:V25" si="9">B5</f>
        <v>80</v>
      </c>
      <c r="W5" s="9">
        <f t="shared" ref="W5:W25" si="10">Q5</f>
        <v>73.982001799212597</v>
      </c>
      <c r="X5" s="10">
        <f t="shared" ref="X5:X25" si="11">W5/12</f>
        <v>6.16516681660105</v>
      </c>
      <c r="Y5" s="9">
        <f t="shared" ref="Y5:Y25" si="12">R5</f>
        <v>0</v>
      </c>
      <c r="Z5" s="10">
        <f t="shared" ref="Z5:Z25" si="13">Y5/12</f>
        <v>0</v>
      </c>
      <c r="AA5" s="9">
        <f t="shared" ref="AA5:AA25" si="14">Y5+W5</f>
        <v>73.982001799212597</v>
      </c>
      <c r="AB5" s="14">
        <f t="shared" ref="AB5:AB25" si="15">X5+Z5</f>
        <v>6.16516681660105</v>
      </c>
      <c r="AC5" s="23">
        <f t="shared" ref="AC5:AC25" si="16">((D5*16)/92416)/2</f>
        <v>2.4213493931786702E-2</v>
      </c>
    </row>
    <row r="6" spans="2:29" ht="18.75" x14ac:dyDescent="0.25">
      <c r="B6" s="1">
        <v>100</v>
      </c>
      <c r="C6" s="1">
        <v>114</v>
      </c>
      <c r="D6" s="2">
        <f t="shared" si="0"/>
        <v>358.28570940000003</v>
      </c>
      <c r="E6" s="2">
        <v>650</v>
      </c>
      <c r="F6" s="2">
        <v>0</v>
      </c>
      <c r="G6" s="2">
        <v>2.5</v>
      </c>
      <c r="H6" s="2">
        <v>0</v>
      </c>
      <c r="I6" s="2">
        <v>0</v>
      </c>
      <c r="J6" s="2">
        <f t="shared" si="1"/>
        <v>890</v>
      </c>
      <c r="K6" s="2">
        <f t="shared" si="2"/>
        <v>1074.8571282</v>
      </c>
      <c r="L6" s="2">
        <v>150</v>
      </c>
      <c r="M6" s="2">
        <v>0</v>
      </c>
      <c r="N6" s="2">
        <f t="shared" si="3"/>
        <v>0</v>
      </c>
      <c r="O6" s="2">
        <f t="shared" si="4"/>
        <v>2114.8571282000003</v>
      </c>
      <c r="P6" s="2">
        <f t="shared" si="5"/>
        <v>0</v>
      </c>
      <c r="Q6" s="2">
        <f t="shared" si="6"/>
        <v>83.262091661417344</v>
      </c>
      <c r="R6" s="2">
        <f t="shared" si="6"/>
        <v>0</v>
      </c>
      <c r="S6" s="2">
        <f t="shared" si="7"/>
        <v>83.262091661417344</v>
      </c>
      <c r="T6" s="3">
        <f t="shared" si="8"/>
        <v>6.938507638451445</v>
      </c>
      <c r="V6" s="8">
        <f t="shared" si="9"/>
        <v>100</v>
      </c>
      <c r="W6" s="9">
        <f t="shared" si="10"/>
        <v>83.262091661417344</v>
      </c>
      <c r="X6" s="10">
        <f t="shared" si="11"/>
        <v>6.938507638451445</v>
      </c>
      <c r="Y6" s="9">
        <f t="shared" si="12"/>
        <v>0</v>
      </c>
      <c r="Z6" s="10">
        <f t="shared" si="13"/>
        <v>0</v>
      </c>
      <c r="AA6" s="9">
        <f t="shared" si="14"/>
        <v>83.262091661417344</v>
      </c>
      <c r="AB6" s="14">
        <f t="shared" si="15"/>
        <v>6.938507638451445</v>
      </c>
      <c r="AC6" s="23">
        <f t="shared" si="16"/>
        <v>3.1015037171052633E-2</v>
      </c>
    </row>
    <row r="7" spans="2:29" ht="18.75" x14ac:dyDescent="0.25">
      <c r="B7" s="1">
        <v>150</v>
      </c>
      <c r="C7" s="1">
        <v>169</v>
      </c>
      <c r="D7" s="2">
        <f t="shared" si="0"/>
        <v>531.14284989999999</v>
      </c>
      <c r="E7" s="2">
        <v>650</v>
      </c>
      <c r="F7" s="2">
        <v>0</v>
      </c>
      <c r="G7" s="2">
        <v>2.5</v>
      </c>
      <c r="H7" s="2">
        <v>0</v>
      </c>
      <c r="I7" s="2">
        <v>0</v>
      </c>
      <c r="J7" s="2">
        <f t="shared" si="1"/>
        <v>890</v>
      </c>
      <c r="K7" s="2">
        <f t="shared" si="2"/>
        <v>1593.4285497000001</v>
      </c>
      <c r="L7" s="2">
        <v>150</v>
      </c>
      <c r="M7" s="2">
        <v>0</v>
      </c>
      <c r="N7" s="2">
        <f t="shared" si="3"/>
        <v>0</v>
      </c>
      <c r="O7" s="2">
        <f t="shared" si="4"/>
        <v>2633.4285497000001</v>
      </c>
      <c r="P7" s="2">
        <f t="shared" si="5"/>
        <v>0</v>
      </c>
      <c r="Q7" s="2">
        <f t="shared" si="6"/>
        <v>103.67828935826772</v>
      </c>
      <c r="R7" s="2">
        <f t="shared" si="6"/>
        <v>0</v>
      </c>
      <c r="S7" s="2">
        <f t="shared" si="7"/>
        <v>103.67828935826772</v>
      </c>
      <c r="T7" s="3">
        <f t="shared" si="8"/>
        <v>8.6398574465223099</v>
      </c>
      <c r="V7" s="8">
        <f t="shared" si="9"/>
        <v>150</v>
      </c>
      <c r="W7" s="9">
        <f t="shared" si="10"/>
        <v>103.67828935826772</v>
      </c>
      <c r="X7" s="10">
        <f t="shared" si="11"/>
        <v>8.6398574465223099</v>
      </c>
      <c r="Y7" s="9">
        <f t="shared" si="12"/>
        <v>0</v>
      </c>
      <c r="Z7" s="10">
        <f t="shared" si="13"/>
        <v>0</v>
      </c>
      <c r="AA7" s="9">
        <f t="shared" si="14"/>
        <v>103.67828935826772</v>
      </c>
      <c r="AB7" s="14">
        <f t="shared" si="15"/>
        <v>8.6398574465223099</v>
      </c>
      <c r="AC7" s="23">
        <f t="shared" si="16"/>
        <v>4.5978432297437671E-2</v>
      </c>
    </row>
    <row r="8" spans="2:29" ht="18.75" x14ac:dyDescent="0.25">
      <c r="B8" s="1">
        <v>200</v>
      </c>
      <c r="C8" s="1">
        <v>219</v>
      </c>
      <c r="D8" s="2">
        <f t="shared" si="0"/>
        <v>688.28570490000004</v>
      </c>
      <c r="E8" s="2">
        <v>700</v>
      </c>
      <c r="F8" s="2">
        <v>0</v>
      </c>
      <c r="G8" s="2">
        <v>2.5</v>
      </c>
      <c r="H8" s="2">
        <v>0</v>
      </c>
      <c r="I8" s="2">
        <v>0</v>
      </c>
      <c r="J8" s="2">
        <f t="shared" si="1"/>
        <v>940</v>
      </c>
      <c r="K8" s="2">
        <f t="shared" si="2"/>
        <v>2064.8571147000002</v>
      </c>
      <c r="L8" s="2">
        <v>150</v>
      </c>
      <c r="M8" s="2">
        <v>0</v>
      </c>
      <c r="N8" s="2">
        <f t="shared" si="3"/>
        <v>0</v>
      </c>
      <c r="O8" s="2">
        <f t="shared" si="4"/>
        <v>3154.8571147000002</v>
      </c>
      <c r="P8" s="2">
        <f t="shared" si="5"/>
        <v>0</v>
      </c>
      <c r="Q8" s="2">
        <f t="shared" si="6"/>
        <v>124.20697301968505</v>
      </c>
      <c r="R8" s="2">
        <f t="shared" si="6"/>
        <v>0</v>
      </c>
      <c r="S8" s="2">
        <f t="shared" si="7"/>
        <v>124.20697301968505</v>
      </c>
      <c r="T8" s="3">
        <f t="shared" si="8"/>
        <v>10.350581084973754</v>
      </c>
      <c r="V8" s="8">
        <f t="shared" si="9"/>
        <v>200</v>
      </c>
      <c r="W8" s="9">
        <f t="shared" si="10"/>
        <v>124.20697301968505</v>
      </c>
      <c r="X8" s="10">
        <f t="shared" si="11"/>
        <v>10.350581084973754</v>
      </c>
      <c r="Y8" s="9">
        <f t="shared" si="12"/>
        <v>0</v>
      </c>
      <c r="Z8" s="10">
        <f t="shared" si="13"/>
        <v>0</v>
      </c>
      <c r="AA8" s="9">
        <f t="shared" si="14"/>
        <v>124.20697301968505</v>
      </c>
      <c r="AB8" s="14">
        <f t="shared" si="15"/>
        <v>10.350581084973754</v>
      </c>
      <c r="AC8" s="23">
        <f t="shared" si="16"/>
        <v>5.9581518775969532E-2</v>
      </c>
    </row>
    <row r="9" spans="2:29" ht="18.75" x14ac:dyDescent="0.25">
      <c r="B9" s="1">
        <v>250</v>
      </c>
      <c r="C9" s="1">
        <v>273</v>
      </c>
      <c r="D9" s="2">
        <f t="shared" si="0"/>
        <v>857.99998830000004</v>
      </c>
      <c r="E9" s="2">
        <v>825</v>
      </c>
      <c r="F9" s="2">
        <v>0</v>
      </c>
      <c r="G9" s="2">
        <v>2.5</v>
      </c>
      <c r="H9" s="2">
        <v>0</v>
      </c>
      <c r="I9" s="2">
        <v>0</v>
      </c>
      <c r="J9" s="2">
        <f t="shared" si="1"/>
        <v>1065</v>
      </c>
      <c r="K9" s="2">
        <f t="shared" si="2"/>
        <v>2573.9999649000001</v>
      </c>
      <c r="L9" s="2">
        <v>150</v>
      </c>
      <c r="M9" s="2">
        <v>0</v>
      </c>
      <c r="N9" s="2">
        <f t="shared" si="3"/>
        <v>0</v>
      </c>
      <c r="O9" s="2">
        <f t="shared" si="4"/>
        <v>3788.9999649000001</v>
      </c>
      <c r="P9" s="2">
        <f t="shared" si="5"/>
        <v>0</v>
      </c>
      <c r="Q9" s="2">
        <f t="shared" si="6"/>
        <v>149.17322696456694</v>
      </c>
      <c r="R9" s="2">
        <f t="shared" si="6"/>
        <v>0</v>
      </c>
      <c r="S9" s="2">
        <f t="shared" si="7"/>
        <v>149.17322696456694</v>
      </c>
      <c r="T9" s="3">
        <f t="shared" si="8"/>
        <v>12.431102247047244</v>
      </c>
      <c r="V9" s="8">
        <f t="shared" si="9"/>
        <v>250</v>
      </c>
      <c r="W9" s="9">
        <f t="shared" si="10"/>
        <v>149.17322696456694</v>
      </c>
      <c r="X9" s="10">
        <f t="shared" si="11"/>
        <v>12.431102247047244</v>
      </c>
      <c r="Y9" s="9">
        <f t="shared" si="12"/>
        <v>0</v>
      </c>
      <c r="Z9" s="10">
        <f t="shared" si="13"/>
        <v>0</v>
      </c>
      <c r="AA9" s="9">
        <f t="shared" si="14"/>
        <v>149.17322696456694</v>
      </c>
      <c r="AB9" s="14">
        <f t="shared" si="15"/>
        <v>12.431102247047244</v>
      </c>
      <c r="AC9" s="23">
        <f t="shared" si="16"/>
        <v>7.427285217278394E-2</v>
      </c>
    </row>
    <row r="10" spans="2:29" ht="18.75" x14ac:dyDescent="0.25">
      <c r="B10" s="1">
        <v>300</v>
      </c>
      <c r="C10" s="1">
        <v>324</v>
      </c>
      <c r="D10" s="2">
        <f t="shared" si="0"/>
        <v>1018.2857004</v>
      </c>
      <c r="E10" s="2">
        <v>825</v>
      </c>
      <c r="F10" s="2">
        <v>0</v>
      </c>
      <c r="G10" s="2">
        <v>2.5</v>
      </c>
      <c r="H10" s="2">
        <v>0</v>
      </c>
      <c r="I10" s="2">
        <v>0</v>
      </c>
      <c r="J10" s="2">
        <f t="shared" si="1"/>
        <v>1065</v>
      </c>
      <c r="K10" s="2">
        <f t="shared" si="2"/>
        <v>3054.8571012000002</v>
      </c>
      <c r="L10" s="2">
        <v>150</v>
      </c>
      <c r="M10" s="2">
        <v>0</v>
      </c>
      <c r="N10" s="2">
        <f t="shared" si="3"/>
        <v>0</v>
      </c>
      <c r="O10" s="2">
        <f t="shared" si="4"/>
        <v>4269.8571012000002</v>
      </c>
      <c r="P10" s="2">
        <f t="shared" si="5"/>
        <v>0</v>
      </c>
      <c r="Q10" s="2">
        <f t="shared" si="6"/>
        <v>168.10461028346458</v>
      </c>
      <c r="R10" s="2">
        <f t="shared" si="6"/>
        <v>0</v>
      </c>
      <c r="S10" s="2">
        <f t="shared" si="7"/>
        <v>168.10461028346458</v>
      </c>
      <c r="T10" s="3">
        <f t="shared" si="8"/>
        <v>14.008717523622048</v>
      </c>
      <c r="V10" s="8">
        <f t="shared" si="9"/>
        <v>300</v>
      </c>
      <c r="W10" s="9">
        <f t="shared" si="10"/>
        <v>168.10461028346458</v>
      </c>
      <c r="X10" s="10">
        <f t="shared" si="11"/>
        <v>14.008717523622048</v>
      </c>
      <c r="Y10" s="9">
        <f t="shared" si="12"/>
        <v>0</v>
      </c>
      <c r="Z10" s="10">
        <f t="shared" si="13"/>
        <v>0</v>
      </c>
      <c r="AA10" s="9">
        <f t="shared" si="14"/>
        <v>168.10461028346458</v>
      </c>
      <c r="AB10" s="14">
        <f t="shared" si="15"/>
        <v>14.008717523622048</v>
      </c>
      <c r="AC10" s="23">
        <f t="shared" si="16"/>
        <v>8.8148000380886424E-2</v>
      </c>
    </row>
    <row r="11" spans="2:29" ht="18.75" x14ac:dyDescent="0.25">
      <c r="B11" s="1">
        <v>350</v>
      </c>
      <c r="C11" s="1">
        <v>356</v>
      </c>
      <c r="D11" s="2">
        <f t="shared" si="0"/>
        <v>1118.8571276</v>
      </c>
      <c r="E11" s="2">
        <v>825</v>
      </c>
      <c r="F11" s="2">
        <v>0</v>
      </c>
      <c r="G11" s="2">
        <v>2.5</v>
      </c>
      <c r="H11" s="2">
        <v>0</v>
      </c>
      <c r="I11" s="2">
        <v>0</v>
      </c>
      <c r="J11" s="2">
        <f t="shared" si="1"/>
        <v>1065</v>
      </c>
      <c r="K11" s="2">
        <f t="shared" si="2"/>
        <v>3356.5713827999998</v>
      </c>
      <c r="L11" s="2">
        <v>150</v>
      </c>
      <c r="M11" s="2">
        <v>0</v>
      </c>
      <c r="N11" s="2">
        <f t="shared" si="3"/>
        <v>0</v>
      </c>
      <c r="O11" s="2">
        <f t="shared" si="4"/>
        <v>4571.5713827999998</v>
      </c>
      <c r="P11" s="2">
        <f t="shared" si="5"/>
        <v>0</v>
      </c>
      <c r="Q11" s="2">
        <f t="shared" si="6"/>
        <v>179.98312530708662</v>
      </c>
      <c r="R11" s="2">
        <f t="shared" si="6"/>
        <v>0</v>
      </c>
      <c r="S11" s="2">
        <f t="shared" si="7"/>
        <v>179.98312530708662</v>
      </c>
      <c r="T11" s="3">
        <f t="shared" si="8"/>
        <v>14.998593775590551</v>
      </c>
      <c r="V11" s="8">
        <f t="shared" si="9"/>
        <v>350</v>
      </c>
      <c r="W11" s="9">
        <f t="shared" si="10"/>
        <v>179.98312530708662</v>
      </c>
      <c r="X11" s="10">
        <f t="shared" si="11"/>
        <v>14.998593775590551</v>
      </c>
      <c r="Y11" s="9">
        <f t="shared" si="12"/>
        <v>0</v>
      </c>
      <c r="Z11" s="10">
        <f t="shared" si="13"/>
        <v>0</v>
      </c>
      <c r="AA11" s="9">
        <f t="shared" si="14"/>
        <v>179.98312530708662</v>
      </c>
      <c r="AB11" s="14">
        <f t="shared" si="15"/>
        <v>14.998593775590551</v>
      </c>
      <c r="AC11" s="23">
        <f t="shared" si="16"/>
        <v>9.685397572714681E-2</v>
      </c>
    </row>
    <row r="12" spans="2:29" ht="18.75" x14ac:dyDescent="0.25">
      <c r="B12" s="1">
        <v>400</v>
      </c>
      <c r="C12" s="1">
        <v>406</v>
      </c>
      <c r="D12" s="2">
        <f t="shared" si="0"/>
        <v>1275.9999826000001</v>
      </c>
      <c r="E12" s="2">
        <v>825</v>
      </c>
      <c r="F12" s="2">
        <v>0</v>
      </c>
      <c r="G12" s="2">
        <v>2.5</v>
      </c>
      <c r="H12" s="2">
        <v>0</v>
      </c>
      <c r="I12" s="2">
        <v>0</v>
      </c>
      <c r="J12" s="2">
        <f t="shared" si="1"/>
        <v>1065</v>
      </c>
      <c r="K12" s="2">
        <f t="shared" si="2"/>
        <v>3827.9999478</v>
      </c>
      <c r="L12" s="2">
        <v>150</v>
      </c>
      <c r="M12" s="2">
        <v>0</v>
      </c>
      <c r="N12" s="2">
        <f t="shared" si="3"/>
        <v>0</v>
      </c>
      <c r="O12" s="2">
        <f t="shared" si="4"/>
        <v>5042.9999478</v>
      </c>
      <c r="P12" s="2">
        <f t="shared" si="5"/>
        <v>0</v>
      </c>
      <c r="Q12" s="2">
        <f t="shared" si="6"/>
        <v>198.54330503149606</v>
      </c>
      <c r="R12" s="2">
        <f t="shared" si="6"/>
        <v>0</v>
      </c>
      <c r="S12" s="2">
        <f t="shared" si="7"/>
        <v>198.54330503149606</v>
      </c>
      <c r="T12" s="3">
        <f t="shared" si="8"/>
        <v>16.54527541929134</v>
      </c>
      <c r="V12" s="8">
        <f t="shared" si="9"/>
        <v>400</v>
      </c>
      <c r="W12" s="9">
        <f t="shared" si="10"/>
        <v>198.54330503149606</v>
      </c>
      <c r="X12" s="10">
        <f t="shared" si="11"/>
        <v>16.54527541929134</v>
      </c>
      <c r="Y12" s="9">
        <f t="shared" si="12"/>
        <v>0</v>
      </c>
      <c r="Z12" s="10">
        <f t="shared" si="13"/>
        <v>0</v>
      </c>
      <c r="AA12" s="9">
        <f t="shared" si="14"/>
        <v>198.54330503149606</v>
      </c>
      <c r="AB12" s="14">
        <f t="shared" si="15"/>
        <v>16.54527541929134</v>
      </c>
      <c r="AC12" s="23">
        <f t="shared" si="16"/>
        <v>0.11045706220567868</v>
      </c>
    </row>
    <row r="13" spans="2:29" ht="18.75" x14ac:dyDescent="0.25">
      <c r="B13" s="1">
        <v>450</v>
      </c>
      <c r="C13" s="1">
        <v>456</v>
      </c>
      <c r="D13" s="2">
        <f t="shared" si="0"/>
        <v>1433.1428376000001</v>
      </c>
      <c r="E13" s="2">
        <v>825</v>
      </c>
      <c r="F13" s="2">
        <v>0</v>
      </c>
      <c r="G13" s="2">
        <v>2.5</v>
      </c>
      <c r="H13" s="2">
        <v>0</v>
      </c>
      <c r="I13" s="2">
        <v>0</v>
      </c>
      <c r="J13" s="2">
        <f t="shared" si="1"/>
        <v>1065</v>
      </c>
      <c r="K13" s="2">
        <f t="shared" si="2"/>
        <v>4299.4285128000001</v>
      </c>
      <c r="L13" s="2">
        <v>150</v>
      </c>
      <c r="M13" s="2">
        <v>0</v>
      </c>
      <c r="N13" s="2">
        <f t="shared" si="3"/>
        <v>0</v>
      </c>
      <c r="O13" s="2">
        <f t="shared" si="4"/>
        <v>5514.4285128000001</v>
      </c>
      <c r="P13" s="2">
        <f t="shared" si="5"/>
        <v>0</v>
      </c>
      <c r="Q13" s="2">
        <f t="shared" si="6"/>
        <v>217.10348475590553</v>
      </c>
      <c r="R13" s="2">
        <f t="shared" si="6"/>
        <v>0</v>
      </c>
      <c r="S13" s="2">
        <f t="shared" si="7"/>
        <v>217.10348475590553</v>
      </c>
      <c r="T13" s="3">
        <f t="shared" si="8"/>
        <v>18.091957062992126</v>
      </c>
      <c r="V13" s="8">
        <f t="shared" si="9"/>
        <v>450</v>
      </c>
      <c r="W13" s="9">
        <f t="shared" si="10"/>
        <v>217.10348475590553</v>
      </c>
      <c r="X13" s="10">
        <f t="shared" si="11"/>
        <v>18.091957062992126</v>
      </c>
      <c r="Y13" s="9">
        <f t="shared" si="12"/>
        <v>0</v>
      </c>
      <c r="Z13" s="10">
        <f t="shared" si="13"/>
        <v>0</v>
      </c>
      <c r="AA13" s="9">
        <f t="shared" si="14"/>
        <v>217.10348475590553</v>
      </c>
      <c r="AB13" s="14">
        <f t="shared" si="15"/>
        <v>18.091957062992126</v>
      </c>
      <c r="AC13" s="23">
        <f t="shared" si="16"/>
        <v>0.12406014868421053</v>
      </c>
    </row>
    <row r="14" spans="2:29" ht="18.75" x14ac:dyDescent="0.25">
      <c r="B14" s="1">
        <v>500</v>
      </c>
      <c r="C14" s="1">
        <v>508</v>
      </c>
      <c r="D14" s="2">
        <f>(C14-G14)*3.1428571</f>
        <v>1588.7142640500001</v>
      </c>
      <c r="E14" s="2">
        <v>825</v>
      </c>
      <c r="F14" s="2">
        <v>200</v>
      </c>
      <c r="G14" s="2">
        <v>2.5</v>
      </c>
      <c r="H14" s="2">
        <v>0</v>
      </c>
      <c r="I14" s="2">
        <v>0</v>
      </c>
      <c r="J14" s="2">
        <f t="shared" si="1"/>
        <v>1065</v>
      </c>
      <c r="K14" s="2">
        <f t="shared" si="2"/>
        <v>4766.1427921499999</v>
      </c>
      <c r="L14" s="2">
        <v>150</v>
      </c>
      <c r="M14" s="2">
        <v>0</v>
      </c>
      <c r="N14" s="2">
        <f t="shared" si="3"/>
        <v>0</v>
      </c>
      <c r="O14" s="2">
        <f t="shared" si="4"/>
        <v>5981.1427921499999</v>
      </c>
      <c r="P14" s="2">
        <v>0</v>
      </c>
      <c r="Q14" s="2">
        <f t="shared" si="6"/>
        <v>235.47806268307087</v>
      </c>
      <c r="R14" s="2">
        <f>P14/25.4</f>
        <v>0</v>
      </c>
      <c r="S14" s="2">
        <f t="shared" si="7"/>
        <v>235.47806268307087</v>
      </c>
      <c r="T14" s="3">
        <f t="shared" si="8"/>
        <v>19.623171890255907</v>
      </c>
      <c r="V14" s="8">
        <f t="shared" si="9"/>
        <v>500</v>
      </c>
      <c r="W14" s="9">
        <f t="shared" si="10"/>
        <v>235.47806268307087</v>
      </c>
      <c r="X14" s="10">
        <f t="shared" si="11"/>
        <v>19.623171890255907</v>
      </c>
      <c r="Y14" s="9">
        <f>R14</f>
        <v>0</v>
      </c>
      <c r="Z14" s="10">
        <f t="shared" si="13"/>
        <v>0</v>
      </c>
      <c r="AA14" s="9">
        <f t="shared" si="14"/>
        <v>235.47806268307087</v>
      </c>
      <c r="AB14" s="14">
        <f t="shared" si="15"/>
        <v>19.623171890255907</v>
      </c>
      <c r="AC14" s="23">
        <f t="shared" si="16"/>
        <v>0.13752720429795706</v>
      </c>
    </row>
    <row r="15" spans="2:29" ht="18.75" x14ac:dyDescent="0.25">
      <c r="B15" s="1">
        <v>600</v>
      </c>
      <c r="C15" s="1">
        <v>610</v>
      </c>
      <c r="D15" s="2">
        <f t="shared" ref="D15:D41" si="17">(C15-G15)*3.1428571</f>
        <v>1909.28568825</v>
      </c>
      <c r="E15" s="2">
        <v>825</v>
      </c>
      <c r="F15" s="2">
        <v>200</v>
      </c>
      <c r="G15" s="2">
        <v>2.5</v>
      </c>
      <c r="H15" s="2">
        <v>0</v>
      </c>
      <c r="I15" s="2">
        <v>0</v>
      </c>
      <c r="J15" s="2">
        <f t="shared" si="1"/>
        <v>1065</v>
      </c>
      <c r="K15" s="2">
        <f t="shared" si="2"/>
        <v>5727.8570647500001</v>
      </c>
      <c r="L15" s="2">
        <v>150</v>
      </c>
      <c r="M15" s="2">
        <v>0</v>
      </c>
      <c r="N15" s="2">
        <f t="shared" si="3"/>
        <v>0</v>
      </c>
      <c r="O15" s="2">
        <f t="shared" si="4"/>
        <v>6942.8570647500001</v>
      </c>
      <c r="P15" s="2">
        <v>0</v>
      </c>
      <c r="Q15" s="2">
        <f t="shared" si="6"/>
        <v>273.34082932086613</v>
      </c>
      <c r="R15" s="2">
        <f t="shared" si="6"/>
        <v>0</v>
      </c>
      <c r="S15" s="2">
        <f t="shared" si="7"/>
        <v>273.34082932086613</v>
      </c>
      <c r="T15" s="3">
        <f t="shared" si="8"/>
        <v>22.778402443405511</v>
      </c>
      <c r="V15" s="8">
        <f t="shared" si="9"/>
        <v>600</v>
      </c>
      <c r="W15" s="9">
        <f t="shared" si="10"/>
        <v>273.34082932086613</v>
      </c>
      <c r="X15" s="10">
        <f t="shared" si="11"/>
        <v>22.778402443405511</v>
      </c>
      <c r="Y15" s="9">
        <f t="shared" si="12"/>
        <v>0</v>
      </c>
      <c r="Z15" s="10">
        <f t="shared" si="13"/>
        <v>0</v>
      </c>
      <c r="AA15" s="9">
        <f t="shared" si="14"/>
        <v>273.34082932086613</v>
      </c>
      <c r="AB15" s="14">
        <f t="shared" si="15"/>
        <v>22.778402443405511</v>
      </c>
      <c r="AC15" s="23">
        <f t="shared" si="16"/>
        <v>0.16527750071416206</v>
      </c>
    </row>
    <row r="16" spans="2:29" ht="18.75" x14ac:dyDescent="0.25">
      <c r="B16" s="1">
        <v>700</v>
      </c>
      <c r="C16" s="1">
        <v>711</v>
      </c>
      <c r="D16" s="2">
        <f t="shared" si="17"/>
        <v>2226.7142553500003</v>
      </c>
      <c r="E16" s="2">
        <v>825</v>
      </c>
      <c r="F16" s="2">
        <v>200</v>
      </c>
      <c r="G16" s="2">
        <v>2.5</v>
      </c>
      <c r="H16" s="2">
        <v>0</v>
      </c>
      <c r="I16" s="2">
        <v>0</v>
      </c>
      <c r="J16" s="2">
        <f t="shared" si="1"/>
        <v>1065</v>
      </c>
      <c r="K16" s="2">
        <f t="shared" si="2"/>
        <v>6680.1427660500012</v>
      </c>
      <c r="L16" s="2">
        <v>150</v>
      </c>
      <c r="M16" s="2">
        <v>0</v>
      </c>
      <c r="N16" s="2">
        <f t="shared" si="3"/>
        <v>0</v>
      </c>
      <c r="O16" s="2">
        <f t="shared" si="4"/>
        <v>7895.1427660500012</v>
      </c>
      <c r="P16" s="2">
        <v>0</v>
      </c>
      <c r="Q16" s="2">
        <f t="shared" si="6"/>
        <v>310.8323923641733</v>
      </c>
      <c r="R16" s="2">
        <f t="shared" si="6"/>
        <v>0</v>
      </c>
      <c r="S16" s="2">
        <f t="shared" si="7"/>
        <v>310.8323923641733</v>
      </c>
      <c r="T16" s="3">
        <f t="shared" si="8"/>
        <v>25.902699363681108</v>
      </c>
      <c r="V16" s="8">
        <f t="shared" si="9"/>
        <v>700</v>
      </c>
      <c r="W16" s="9">
        <f t="shared" si="10"/>
        <v>310.8323923641733</v>
      </c>
      <c r="X16" s="10">
        <f t="shared" si="11"/>
        <v>25.902699363681108</v>
      </c>
      <c r="Y16" s="9">
        <f t="shared" si="12"/>
        <v>0</v>
      </c>
      <c r="Z16" s="10">
        <f t="shared" si="13"/>
        <v>0</v>
      </c>
      <c r="AA16" s="9">
        <f t="shared" si="14"/>
        <v>310.8323923641733</v>
      </c>
      <c r="AB16" s="14">
        <f t="shared" si="15"/>
        <v>25.902699363681108</v>
      </c>
      <c r="AC16" s="23">
        <f t="shared" si="16"/>
        <v>0.19275573540079641</v>
      </c>
    </row>
    <row r="17" spans="2:29" ht="18.75" x14ac:dyDescent="0.25">
      <c r="B17" s="1">
        <v>750</v>
      </c>
      <c r="C17" s="1">
        <v>762</v>
      </c>
      <c r="D17" s="2">
        <f t="shared" si="17"/>
        <v>2386.99996745</v>
      </c>
      <c r="E17" s="2">
        <v>825</v>
      </c>
      <c r="F17" s="2">
        <v>200</v>
      </c>
      <c r="G17" s="2">
        <v>2.5</v>
      </c>
      <c r="H17" s="2">
        <v>0</v>
      </c>
      <c r="I17" s="2">
        <v>0</v>
      </c>
      <c r="J17" s="2">
        <f t="shared" si="1"/>
        <v>1065</v>
      </c>
      <c r="K17" s="2">
        <f t="shared" si="2"/>
        <v>7160.9999023500004</v>
      </c>
      <c r="L17" s="2">
        <v>150</v>
      </c>
      <c r="M17" s="2">
        <v>0</v>
      </c>
      <c r="N17" s="2">
        <f t="shared" si="3"/>
        <v>0</v>
      </c>
      <c r="O17" s="2">
        <f t="shared" si="4"/>
        <v>8375.9999023500004</v>
      </c>
      <c r="P17" s="2">
        <v>0</v>
      </c>
      <c r="Q17" s="2">
        <f t="shared" si="6"/>
        <v>329.76377568307089</v>
      </c>
      <c r="R17" s="2">
        <f t="shared" si="6"/>
        <v>0</v>
      </c>
      <c r="S17" s="2">
        <f t="shared" si="7"/>
        <v>329.76377568307089</v>
      </c>
      <c r="T17" s="3">
        <f t="shared" si="8"/>
        <v>27.480314640255909</v>
      </c>
      <c r="V17" s="8">
        <f t="shared" si="9"/>
        <v>750</v>
      </c>
      <c r="W17" s="9">
        <f t="shared" si="10"/>
        <v>329.76377568307089</v>
      </c>
      <c r="X17" s="10">
        <f t="shared" si="11"/>
        <v>27.480314640255909</v>
      </c>
      <c r="Y17" s="9">
        <f t="shared" si="12"/>
        <v>0</v>
      </c>
      <c r="Z17" s="10">
        <f t="shared" si="13"/>
        <v>0</v>
      </c>
      <c r="AA17" s="9">
        <f t="shared" si="14"/>
        <v>329.76377568307089</v>
      </c>
      <c r="AB17" s="14">
        <f t="shared" si="15"/>
        <v>27.480314640255909</v>
      </c>
      <c r="AC17" s="23">
        <f t="shared" si="16"/>
        <v>0.20663088360889889</v>
      </c>
    </row>
    <row r="18" spans="2:29" ht="18.75" x14ac:dyDescent="0.25">
      <c r="B18" s="1">
        <v>800</v>
      </c>
      <c r="C18" s="1">
        <v>813</v>
      </c>
      <c r="D18" s="2">
        <f t="shared" si="17"/>
        <v>2547.2856795500002</v>
      </c>
      <c r="E18" s="2">
        <v>825</v>
      </c>
      <c r="F18" s="2">
        <v>200</v>
      </c>
      <c r="G18" s="2">
        <v>2.5</v>
      </c>
      <c r="H18" s="2">
        <v>0</v>
      </c>
      <c r="I18" s="2">
        <v>0</v>
      </c>
      <c r="J18" s="2">
        <f t="shared" si="1"/>
        <v>1065</v>
      </c>
      <c r="K18" s="2">
        <f t="shared" si="2"/>
        <v>7641.8570386500005</v>
      </c>
      <c r="L18" s="2">
        <v>150</v>
      </c>
      <c r="M18" s="2">
        <v>0</v>
      </c>
      <c r="N18" s="2">
        <f t="shared" si="3"/>
        <v>0</v>
      </c>
      <c r="O18" s="2">
        <f t="shared" si="4"/>
        <v>8856.8570386499996</v>
      </c>
      <c r="P18" s="2">
        <v>0</v>
      </c>
      <c r="Q18" s="2">
        <f t="shared" si="6"/>
        <v>348.69515900196853</v>
      </c>
      <c r="R18" s="2">
        <f t="shared" si="6"/>
        <v>0</v>
      </c>
      <c r="S18" s="2">
        <f t="shared" si="7"/>
        <v>348.69515900196853</v>
      </c>
      <c r="T18" s="3">
        <f t="shared" si="8"/>
        <v>29.057929916830712</v>
      </c>
      <c r="V18" s="8">
        <f t="shared" si="9"/>
        <v>800</v>
      </c>
      <c r="W18" s="9">
        <f t="shared" si="10"/>
        <v>348.69515900196853</v>
      </c>
      <c r="X18" s="10">
        <f t="shared" si="11"/>
        <v>29.057929916830712</v>
      </c>
      <c r="Y18" s="9">
        <f t="shared" si="12"/>
        <v>0</v>
      </c>
      <c r="Z18" s="10">
        <f t="shared" si="13"/>
        <v>0</v>
      </c>
      <c r="AA18" s="9">
        <f t="shared" si="14"/>
        <v>348.69515900196853</v>
      </c>
      <c r="AB18" s="14">
        <f t="shared" si="15"/>
        <v>29.057929916830712</v>
      </c>
      <c r="AC18" s="23">
        <f t="shared" si="16"/>
        <v>0.2205060318170014</v>
      </c>
    </row>
    <row r="19" spans="2:29" ht="18.75" x14ac:dyDescent="0.25">
      <c r="B19" s="1">
        <v>900</v>
      </c>
      <c r="C19" s="1">
        <v>914</v>
      </c>
      <c r="D19" s="2">
        <f t="shared" si="17"/>
        <v>2864.71424665</v>
      </c>
      <c r="E19" s="2">
        <v>825</v>
      </c>
      <c r="F19" s="2">
        <v>200</v>
      </c>
      <c r="G19" s="2">
        <v>2.5</v>
      </c>
      <c r="H19" s="2">
        <v>0</v>
      </c>
      <c r="I19" s="2">
        <v>0</v>
      </c>
      <c r="J19" s="2">
        <f t="shared" si="1"/>
        <v>1065</v>
      </c>
      <c r="K19" s="2">
        <f t="shared" si="2"/>
        <v>8594.1427399499989</v>
      </c>
      <c r="L19" s="2">
        <v>150</v>
      </c>
      <c r="M19" s="2">
        <v>0</v>
      </c>
      <c r="N19" s="2">
        <f t="shared" si="3"/>
        <v>0</v>
      </c>
      <c r="O19" s="2">
        <f t="shared" si="4"/>
        <v>9809.1427399499989</v>
      </c>
      <c r="P19" s="2">
        <v>0</v>
      </c>
      <c r="Q19" s="2">
        <f t="shared" si="6"/>
        <v>386.18672204527559</v>
      </c>
      <c r="R19" s="2">
        <f t="shared" si="6"/>
        <v>0</v>
      </c>
      <c r="S19" s="2">
        <f t="shared" si="7"/>
        <v>386.18672204527559</v>
      </c>
      <c r="T19" s="3">
        <f t="shared" si="8"/>
        <v>32.182226837106299</v>
      </c>
      <c r="V19" s="8">
        <f t="shared" si="9"/>
        <v>900</v>
      </c>
      <c r="W19" s="9">
        <f t="shared" si="10"/>
        <v>386.18672204527559</v>
      </c>
      <c r="X19" s="10">
        <f t="shared" si="11"/>
        <v>32.182226837106299</v>
      </c>
      <c r="Y19" s="9">
        <f t="shared" si="12"/>
        <v>0</v>
      </c>
      <c r="Z19" s="10">
        <f t="shared" si="13"/>
        <v>0</v>
      </c>
      <c r="AA19" s="9">
        <f t="shared" si="14"/>
        <v>386.18672204527559</v>
      </c>
      <c r="AB19" s="14">
        <f t="shared" si="15"/>
        <v>32.182226837106299</v>
      </c>
      <c r="AC19" s="23">
        <f t="shared" si="16"/>
        <v>0.24798426650363573</v>
      </c>
    </row>
    <row r="20" spans="2:29" ht="18.75" x14ac:dyDescent="0.25">
      <c r="B20" s="1">
        <v>1000</v>
      </c>
      <c r="C20" s="1">
        <v>1016</v>
      </c>
      <c r="D20" s="2">
        <f t="shared" si="17"/>
        <v>3185.2856708499999</v>
      </c>
      <c r="E20" s="2">
        <v>825</v>
      </c>
      <c r="F20" s="2">
        <v>200</v>
      </c>
      <c r="G20" s="2">
        <v>2.5</v>
      </c>
      <c r="H20" s="2">
        <v>0</v>
      </c>
      <c r="I20" s="2">
        <v>0</v>
      </c>
      <c r="J20" s="2">
        <f t="shared" si="1"/>
        <v>1065</v>
      </c>
      <c r="K20" s="2">
        <f t="shared" si="2"/>
        <v>9555.8570125499991</v>
      </c>
      <c r="L20" s="2">
        <v>180</v>
      </c>
      <c r="M20" s="2">
        <v>0</v>
      </c>
      <c r="N20" s="2">
        <f t="shared" si="3"/>
        <v>0</v>
      </c>
      <c r="O20" s="2">
        <f t="shared" si="4"/>
        <v>10800.857012549999</v>
      </c>
      <c r="P20" s="2">
        <v>0</v>
      </c>
      <c r="Q20" s="2">
        <f t="shared" si="6"/>
        <v>425.23059104527556</v>
      </c>
      <c r="R20" s="2">
        <f>P20/25.4</f>
        <v>0</v>
      </c>
      <c r="S20" s="2">
        <f t="shared" si="7"/>
        <v>425.23059104527556</v>
      </c>
      <c r="T20" s="3">
        <f t="shared" si="8"/>
        <v>35.435882587106299</v>
      </c>
      <c r="V20" s="8">
        <f t="shared" si="9"/>
        <v>1000</v>
      </c>
      <c r="W20" s="9">
        <f t="shared" si="10"/>
        <v>425.23059104527556</v>
      </c>
      <c r="X20" s="10">
        <f t="shared" si="11"/>
        <v>35.435882587106299</v>
      </c>
      <c r="Y20" s="9">
        <f>R20</f>
        <v>0</v>
      </c>
      <c r="Z20" s="10">
        <f t="shared" si="13"/>
        <v>0</v>
      </c>
      <c r="AA20" s="9">
        <f t="shared" si="14"/>
        <v>425.23059104527556</v>
      </c>
      <c r="AB20" s="14">
        <f t="shared" si="15"/>
        <v>35.435882587106299</v>
      </c>
      <c r="AC20" s="23">
        <f t="shared" si="16"/>
        <v>0.27573456291984072</v>
      </c>
    </row>
    <row r="21" spans="2:29" ht="18.75" x14ac:dyDescent="0.25">
      <c r="B21" s="1">
        <v>1100</v>
      </c>
      <c r="C21" s="1">
        <v>1118</v>
      </c>
      <c r="D21" s="2">
        <f t="shared" si="17"/>
        <v>3505.8570950500002</v>
      </c>
      <c r="E21" s="2">
        <v>825</v>
      </c>
      <c r="F21" s="2">
        <v>225</v>
      </c>
      <c r="G21" s="2">
        <v>2.5</v>
      </c>
      <c r="H21" s="2">
        <v>0</v>
      </c>
      <c r="I21" s="2">
        <v>0</v>
      </c>
      <c r="J21" s="2">
        <f t="shared" si="1"/>
        <v>1065</v>
      </c>
      <c r="K21" s="2">
        <f t="shared" si="2"/>
        <v>10517.571285150001</v>
      </c>
      <c r="L21" s="2">
        <v>180</v>
      </c>
      <c r="M21" s="2">
        <v>0</v>
      </c>
      <c r="N21" s="2">
        <f t="shared" si="3"/>
        <v>0</v>
      </c>
      <c r="O21" s="2">
        <f t="shared" si="4"/>
        <v>11762.571285150001</v>
      </c>
      <c r="P21" s="2">
        <v>0</v>
      </c>
      <c r="Q21" s="2">
        <f t="shared" si="6"/>
        <v>463.09335768307096</v>
      </c>
      <c r="R21" s="2">
        <f t="shared" si="6"/>
        <v>0</v>
      </c>
      <c r="S21" s="2">
        <f t="shared" si="7"/>
        <v>463.09335768307096</v>
      </c>
      <c r="T21" s="3">
        <f t="shared" si="8"/>
        <v>38.591113140255914</v>
      </c>
      <c r="V21" s="8">
        <f t="shared" si="9"/>
        <v>1100</v>
      </c>
      <c r="W21" s="9">
        <f t="shared" si="10"/>
        <v>463.09335768307096</v>
      </c>
      <c r="X21" s="10">
        <f t="shared" si="11"/>
        <v>38.591113140255914</v>
      </c>
      <c r="Y21" s="9">
        <f t="shared" si="12"/>
        <v>0</v>
      </c>
      <c r="Z21" s="10">
        <f t="shared" si="13"/>
        <v>0</v>
      </c>
      <c r="AA21" s="9">
        <f t="shared" si="14"/>
        <v>463.09335768307096</v>
      </c>
      <c r="AB21" s="14">
        <f t="shared" si="15"/>
        <v>38.591113140255914</v>
      </c>
      <c r="AC21" s="23">
        <f t="shared" si="16"/>
        <v>0.30348485933604574</v>
      </c>
    </row>
    <row r="22" spans="2:29" ht="18.75" x14ac:dyDescent="0.25">
      <c r="B22" s="1">
        <v>1200</v>
      </c>
      <c r="C22" s="1">
        <v>1219</v>
      </c>
      <c r="D22" s="2">
        <f t="shared" si="17"/>
        <v>3823.28566215</v>
      </c>
      <c r="E22" s="2">
        <v>825</v>
      </c>
      <c r="F22" s="2">
        <v>225</v>
      </c>
      <c r="G22" s="2">
        <v>2.5</v>
      </c>
      <c r="H22" s="2">
        <v>0</v>
      </c>
      <c r="I22" s="2">
        <v>0</v>
      </c>
      <c r="J22" s="2">
        <f t="shared" si="1"/>
        <v>1065</v>
      </c>
      <c r="K22" s="2">
        <f t="shared" si="2"/>
        <v>11469.85698645</v>
      </c>
      <c r="L22" s="2">
        <v>180</v>
      </c>
      <c r="M22" s="2">
        <v>0</v>
      </c>
      <c r="N22" s="2">
        <f t="shared" si="3"/>
        <v>0</v>
      </c>
      <c r="O22" s="2">
        <f t="shared" si="4"/>
        <v>12714.85698645</v>
      </c>
      <c r="P22" s="2">
        <v>0</v>
      </c>
      <c r="Q22" s="2">
        <f t="shared" si="6"/>
        <v>500.58492072637802</v>
      </c>
      <c r="R22" s="2">
        <f t="shared" si="6"/>
        <v>0</v>
      </c>
      <c r="S22" s="2">
        <f t="shared" si="7"/>
        <v>500.58492072637802</v>
      </c>
      <c r="T22" s="3">
        <f t="shared" si="8"/>
        <v>41.715410060531504</v>
      </c>
      <c r="V22" s="8">
        <f t="shared" si="9"/>
        <v>1200</v>
      </c>
      <c r="W22" s="9">
        <f t="shared" si="10"/>
        <v>500.58492072637802</v>
      </c>
      <c r="X22" s="10">
        <f t="shared" si="11"/>
        <v>41.715410060531504</v>
      </c>
      <c r="Y22" s="9">
        <f t="shared" si="12"/>
        <v>0</v>
      </c>
      <c r="Z22" s="10">
        <f t="shared" si="13"/>
        <v>0</v>
      </c>
      <c r="AA22" s="9">
        <f t="shared" si="14"/>
        <v>500.58492072637802</v>
      </c>
      <c r="AB22" s="14">
        <f t="shared" si="15"/>
        <v>41.715410060531504</v>
      </c>
      <c r="AC22" s="23">
        <f t="shared" si="16"/>
        <v>0.33096309402268004</v>
      </c>
    </row>
    <row r="23" spans="2:29" ht="18.75" x14ac:dyDescent="0.25">
      <c r="B23" s="1">
        <v>1300</v>
      </c>
      <c r="C23" s="1">
        <v>1320</v>
      </c>
      <c r="D23" s="2">
        <f t="shared" si="17"/>
        <v>4140.7142292500002</v>
      </c>
      <c r="E23" s="2">
        <v>825</v>
      </c>
      <c r="F23" s="2">
        <v>225</v>
      </c>
      <c r="G23" s="2">
        <v>2.5</v>
      </c>
      <c r="H23" s="2">
        <v>0</v>
      </c>
      <c r="I23" s="2">
        <v>0</v>
      </c>
      <c r="J23" s="2">
        <f t="shared" si="1"/>
        <v>1065</v>
      </c>
      <c r="K23" s="2">
        <f t="shared" si="2"/>
        <v>12422.142687750002</v>
      </c>
      <c r="L23" s="2">
        <v>180</v>
      </c>
      <c r="M23" s="2">
        <v>0</v>
      </c>
      <c r="N23" s="2">
        <f t="shared" si="3"/>
        <v>0</v>
      </c>
      <c r="O23" s="2">
        <f t="shared" si="4"/>
        <v>13667.142687750002</v>
      </c>
      <c r="P23" s="2">
        <v>0</v>
      </c>
      <c r="Q23" s="2">
        <f t="shared" si="6"/>
        <v>538.07648376968518</v>
      </c>
      <c r="R23" s="2">
        <f t="shared" si="6"/>
        <v>0</v>
      </c>
      <c r="S23" s="2">
        <f t="shared" si="7"/>
        <v>538.07648376968518</v>
      </c>
      <c r="T23" s="3">
        <f t="shared" si="8"/>
        <v>44.839706980807101</v>
      </c>
      <c r="V23" s="8">
        <f t="shared" si="9"/>
        <v>1300</v>
      </c>
      <c r="W23" s="9">
        <f t="shared" si="10"/>
        <v>538.07648376968518</v>
      </c>
      <c r="X23" s="10">
        <f t="shared" si="11"/>
        <v>44.839706980807101</v>
      </c>
      <c r="Y23" s="9">
        <f t="shared" si="12"/>
        <v>0</v>
      </c>
      <c r="Z23" s="10">
        <f t="shared" si="13"/>
        <v>0</v>
      </c>
      <c r="AA23" s="9">
        <f t="shared" si="14"/>
        <v>538.07648376968518</v>
      </c>
      <c r="AB23" s="14">
        <f t="shared" si="15"/>
        <v>44.839706980807101</v>
      </c>
      <c r="AC23" s="23">
        <f t="shared" si="16"/>
        <v>0.35844132870931444</v>
      </c>
    </row>
    <row r="24" spans="2:29" ht="18.75" x14ac:dyDescent="0.25">
      <c r="B24" s="1">
        <v>1400</v>
      </c>
      <c r="C24" s="1">
        <v>1420</v>
      </c>
      <c r="D24" s="2">
        <f t="shared" si="17"/>
        <v>4454.9999392500004</v>
      </c>
      <c r="E24" s="2">
        <v>825</v>
      </c>
      <c r="F24" s="2">
        <v>225</v>
      </c>
      <c r="G24" s="2">
        <v>2.5</v>
      </c>
      <c r="H24" s="2">
        <v>0</v>
      </c>
      <c r="I24" s="2">
        <v>0</v>
      </c>
      <c r="J24" s="2">
        <f t="shared" si="1"/>
        <v>1065</v>
      </c>
      <c r="K24" s="2">
        <f t="shared" si="2"/>
        <v>13364.999817750002</v>
      </c>
      <c r="L24" s="2">
        <v>180</v>
      </c>
      <c r="M24" s="2">
        <v>0</v>
      </c>
      <c r="N24" s="2">
        <f t="shared" si="3"/>
        <v>0</v>
      </c>
      <c r="O24" s="2">
        <f t="shared" si="4"/>
        <v>14609.999817750002</v>
      </c>
      <c r="P24" s="2">
        <v>0</v>
      </c>
      <c r="Q24" s="2">
        <f t="shared" si="6"/>
        <v>575.196843218504</v>
      </c>
      <c r="R24" s="2">
        <f t="shared" si="6"/>
        <v>0</v>
      </c>
      <c r="S24" s="2">
        <f t="shared" si="7"/>
        <v>575.196843218504</v>
      </c>
      <c r="T24" s="3">
        <f t="shared" si="8"/>
        <v>47.933070268208667</v>
      </c>
      <c r="V24" s="8">
        <f t="shared" si="9"/>
        <v>1400</v>
      </c>
      <c r="W24" s="9">
        <f t="shared" si="10"/>
        <v>575.196843218504</v>
      </c>
      <c r="X24" s="10">
        <f t="shared" si="11"/>
        <v>47.933070268208667</v>
      </c>
      <c r="Y24" s="9">
        <f t="shared" si="12"/>
        <v>0</v>
      </c>
      <c r="Z24" s="10">
        <f t="shared" si="13"/>
        <v>0</v>
      </c>
      <c r="AA24" s="9">
        <f t="shared" si="14"/>
        <v>575.196843218504</v>
      </c>
      <c r="AB24" s="14">
        <f t="shared" si="15"/>
        <v>47.933070268208667</v>
      </c>
      <c r="AC24" s="23">
        <f t="shared" si="16"/>
        <v>0.38564750166637812</v>
      </c>
    </row>
    <row r="25" spans="2:29" ht="18.75" x14ac:dyDescent="0.25">
      <c r="B25" s="1">
        <v>1500</v>
      </c>
      <c r="C25" s="1">
        <v>1524</v>
      </c>
      <c r="D25" s="2">
        <f t="shared" si="17"/>
        <v>4780.2856491000002</v>
      </c>
      <c r="E25" s="2">
        <v>1200</v>
      </c>
      <c r="F25" s="2">
        <v>225</v>
      </c>
      <c r="G25" s="2">
        <v>3</v>
      </c>
      <c r="H25" s="2">
        <v>0</v>
      </c>
      <c r="I25" s="2">
        <v>0</v>
      </c>
      <c r="J25" s="2">
        <f t="shared" si="1"/>
        <v>1440</v>
      </c>
      <c r="K25" s="2">
        <f t="shared" si="2"/>
        <v>14340.856947300001</v>
      </c>
      <c r="L25" s="2">
        <v>180</v>
      </c>
      <c r="M25" s="2">
        <v>0</v>
      </c>
      <c r="N25" s="2">
        <f t="shared" si="3"/>
        <v>0</v>
      </c>
      <c r="O25" s="2">
        <f t="shared" si="4"/>
        <v>15960.856947300001</v>
      </c>
      <c r="P25" s="2">
        <v>0</v>
      </c>
      <c r="Q25" s="2">
        <f t="shared" si="6"/>
        <v>628.38019477559067</v>
      </c>
      <c r="R25" s="2">
        <f t="shared" si="6"/>
        <v>0</v>
      </c>
      <c r="S25" s="2">
        <f t="shared" si="7"/>
        <v>628.38019477559067</v>
      </c>
      <c r="T25" s="3">
        <f>S25/12</f>
        <v>52.365016231299222</v>
      </c>
      <c r="V25" s="8">
        <f t="shared" si="9"/>
        <v>1500</v>
      </c>
      <c r="W25" s="9">
        <f t="shared" si="10"/>
        <v>628.38019477559067</v>
      </c>
      <c r="X25" s="10">
        <f t="shared" si="11"/>
        <v>52.365016231299222</v>
      </c>
      <c r="Y25" s="9">
        <f t="shared" si="12"/>
        <v>0</v>
      </c>
      <c r="Z25" s="10">
        <f t="shared" si="13"/>
        <v>0</v>
      </c>
      <c r="AA25" s="9">
        <f t="shared" si="14"/>
        <v>628.38019477559067</v>
      </c>
      <c r="AB25" s="14">
        <f t="shared" si="15"/>
        <v>52.365016231299222</v>
      </c>
      <c r="AC25" s="23">
        <f t="shared" si="16"/>
        <v>0.41380589067693907</v>
      </c>
    </row>
    <row r="26" spans="2:29" ht="18.75" x14ac:dyDescent="0.25">
      <c r="D26" s="2">
        <f t="shared" si="17"/>
        <v>0</v>
      </c>
      <c r="M26" s="2">
        <v>0</v>
      </c>
      <c r="AC26" s="15">
        <f t="shared" ref="AC5:AC41" si="18">((K26*L26)/92416)/2</f>
        <v>0</v>
      </c>
    </row>
    <row r="27" spans="2:29" ht="18.75" x14ac:dyDescent="0.25">
      <c r="B27" s="1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3"/>
      <c r="V27" s="8"/>
      <c r="W27" s="9"/>
      <c r="X27" s="10"/>
      <c r="Y27" s="9"/>
      <c r="Z27" s="10"/>
      <c r="AA27" s="9"/>
      <c r="AB27" s="14"/>
      <c r="AC27" s="15"/>
    </row>
    <row r="28" spans="2:29" ht="18.75" x14ac:dyDescent="0.25">
      <c r="B28" s="11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3"/>
      <c r="V28" s="8"/>
      <c r="W28" s="9"/>
      <c r="X28" s="10"/>
      <c r="Y28" s="9"/>
      <c r="Z28" s="10"/>
      <c r="AA28" s="9"/>
      <c r="AB28" s="14"/>
      <c r="AC28" s="15"/>
    </row>
    <row r="29" spans="2:29" ht="18.75" x14ac:dyDescent="0.25">
      <c r="B29" s="1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/>
      <c r="V29" s="8"/>
      <c r="W29" s="9"/>
      <c r="X29" s="10"/>
      <c r="Y29" s="9"/>
      <c r="Z29" s="10"/>
      <c r="AA29" s="9"/>
      <c r="AB29" s="14"/>
      <c r="AC29" s="15"/>
    </row>
    <row r="30" spans="2:29" ht="18.75" x14ac:dyDescent="0.25">
      <c r="B30" s="1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3"/>
      <c r="V30" s="8"/>
      <c r="W30" s="9"/>
      <c r="X30" s="10"/>
      <c r="Y30" s="9"/>
      <c r="Z30" s="10"/>
      <c r="AA30" s="9"/>
      <c r="AB30" s="14"/>
      <c r="AC30" s="15"/>
    </row>
    <row r="31" spans="2:29" ht="18.75" x14ac:dyDescent="0.25">
      <c r="B31" s="1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"/>
      <c r="V31" s="8"/>
      <c r="W31" s="9"/>
      <c r="X31" s="10"/>
      <c r="Y31" s="9"/>
      <c r="Z31" s="10"/>
      <c r="AA31" s="9"/>
      <c r="AB31" s="14"/>
      <c r="AC31" s="15"/>
    </row>
    <row r="32" spans="2:29" ht="18.75" x14ac:dyDescent="0.25">
      <c r="B32" s="1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"/>
      <c r="V32" s="8"/>
      <c r="W32" s="9"/>
      <c r="X32" s="10"/>
      <c r="Y32" s="9"/>
      <c r="Z32" s="10"/>
      <c r="AA32" s="9"/>
      <c r="AB32" s="14"/>
      <c r="AC32" s="15"/>
    </row>
    <row r="33" spans="2:29" ht="18.75" x14ac:dyDescent="0.25">
      <c r="B33" s="1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"/>
      <c r="V33" s="8"/>
      <c r="W33" s="9"/>
      <c r="X33" s="10"/>
      <c r="Y33" s="9"/>
      <c r="Z33" s="10"/>
      <c r="AA33" s="9"/>
      <c r="AB33" s="14"/>
      <c r="AC33" s="15"/>
    </row>
    <row r="34" spans="2:29" ht="18.75" x14ac:dyDescent="0.25">
      <c r="B34" s="1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"/>
      <c r="V34" s="8"/>
      <c r="W34" s="9"/>
      <c r="X34" s="10"/>
      <c r="Y34" s="9"/>
      <c r="Z34" s="10"/>
      <c r="AA34" s="9"/>
      <c r="AB34" s="14"/>
      <c r="AC34" s="15"/>
    </row>
    <row r="35" spans="2:29" ht="18.75" x14ac:dyDescent="0.25">
      <c r="B35" s="1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/>
      <c r="V35" s="8"/>
      <c r="W35" s="9"/>
      <c r="X35" s="10"/>
      <c r="Y35" s="9"/>
      <c r="Z35" s="10"/>
      <c r="AA35" s="9"/>
      <c r="AB35" s="14"/>
      <c r="AC35" s="15"/>
    </row>
    <row r="36" spans="2:29" ht="18.75" x14ac:dyDescent="0.25">
      <c r="B36" s="1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"/>
      <c r="V36" s="8"/>
      <c r="W36" s="9"/>
      <c r="X36" s="10"/>
      <c r="Y36" s="9"/>
      <c r="Z36" s="10"/>
      <c r="AA36" s="9"/>
      <c r="AB36" s="14"/>
      <c r="AC36" s="15"/>
    </row>
    <row r="37" spans="2:29" ht="18.75" x14ac:dyDescent="0.25">
      <c r="B37" s="1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"/>
      <c r="V37" s="8"/>
      <c r="W37" s="9"/>
      <c r="X37" s="10"/>
      <c r="Y37" s="9"/>
      <c r="Z37" s="10"/>
      <c r="AA37" s="9"/>
      <c r="AB37" s="14"/>
      <c r="AC37" s="15"/>
    </row>
    <row r="38" spans="2:29" ht="18.75" x14ac:dyDescent="0.25">
      <c r="B38" s="1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3"/>
      <c r="V38" s="8"/>
      <c r="W38" s="9"/>
      <c r="X38" s="10"/>
      <c r="Y38" s="9"/>
      <c r="Z38" s="10"/>
      <c r="AA38" s="9"/>
      <c r="AB38" s="14"/>
      <c r="AC38" s="15"/>
    </row>
    <row r="39" spans="2:29" ht="18.75" x14ac:dyDescent="0.25">
      <c r="B39" s="1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/>
      <c r="V39" s="8"/>
      <c r="W39" s="9"/>
      <c r="X39" s="10"/>
      <c r="Y39" s="9"/>
      <c r="Z39" s="10"/>
      <c r="AA39" s="9"/>
      <c r="AB39" s="14"/>
      <c r="AC39" s="15"/>
    </row>
    <row r="40" spans="2:29" ht="18.75" x14ac:dyDescent="0.25">
      <c r="B40" s="1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3"/>
      <c r="V40" s="8"/>
      <c r="W40" s="9"/>
      <c r="X40" s="10"/>
      <c r="Y40" s="9"/>
      <c r="Z40" s="10"/>
      <c r="AA40" s="9"/>
      <c r="AB40" s="14"/>
      <c r="AC40" s="15"/>
    </row>
    <row r="41" spans="2:29" ht="18.75" x14ac:dyDescent="0.25">
      <c r="B41" s="1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3"/>
      <c r="V41" s="8"/>
      <c r="W41" s="9"/>
      <c r="X41" s="10"/>
      <c r="Y41" s="9"/>
      <c r="Z41" s="10"/>
      <c r="AA41" s="9"/>
      <c r="AB41" s="14"/>
      <c r="AC41" s="15"/>
    </row>
  </sheetData>
  <mergeCells count="5">
    <mergeCell ref="J2:K2"/>
    <mergeCell ref="L2:N2"/>
    <mergeCell ref="B1:T1"/>
    <mergeCell ref="V1:AC1"/>
    <mergeCell ref="V2:AC2"/>
  </mergeCells>
  <pageMargins left="0.7" right="0.7" top="0.75" bottom="0.75" header="0.3" footer="0.3"/>
  <pageSetup paperSize="9" scale="4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Precise Engineers</cp:lastModifiedBy>
  <cp:lastPrinted>2019-12-08T08:52:09Z</cp:lastPrinted>
  <dcterms:created xsi:type="dcterms:W3CDTF">2019-10-22T03:53:17Z</dcterms:created>
  <dcterms:modified xsi:type="dcterms:W3CDTF">2026-07-27T04:41:09Z</dcterms:modified>
</cp:coreProperties>
</file>