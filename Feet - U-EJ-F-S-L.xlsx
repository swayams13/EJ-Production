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SERVER\Design\OLD DESIGN 10-11\AI Developlment Swayam Singh\Master files\"/>
    </mc:Choice>
  </mc:AlternateContent>
  <xr:revisionPtr revIDLastSave="0" documentId="13_ncr:1_{6AFD79CD-C3F4-4C4E-97D2-EAB9BC822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2" i="1" l="1"/>
  <c r="J40" i="1" l="1"/>
  <c r="K40" i="1"/>
  <c r="J41" i="1"/>
  <c r="K41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K27" i="1"/>
  <c r="J27" i="1"/>
  <c r="J24" i="1"/>
  <c r="K24" i="1"/>
  <c r="J25" i="1"/>
  <c r="K25" i="1"/>
  <c r="AC25" i="1" s="1"/>
  <c r="J5" i="1"/>
  <c r="K5" i="1"/>
  <c r="J6" i="1"/>
  <c r="K6" i="1"/>
  <c r="O6" i="1" s="1"/>
  <c r="Q6" i="1" s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AC14" i="1" s="1"/>
  <c r="J15" i="1"/>
  <c r="K15" i="1"/>
  <c r="J16" i="1"/>
  <c r="K16" i="1"/>
  <c r="AC16" i="1" s="1"/>
  <c r="J17" i="1"/>
  <c r="K17" i="1"/>
  <c r="J18" i="1"/>
  <c r="K18" i="1"/>
  <c r="AC18" i="1" s="1"/>
  <c r="J19" i="1"/>
  <c r="K19" i="1"/>
  <c r="J20" i="1"/>
  <c r="K20" i="1"/>
  <c r="AC20" i="1" s="1"/>
  <c r="J21" i="1"/>
  <c r="K21" i="1"/>
  <c r="J22" i="1"/>
  <c r="K22" i="1"/>
  <c r="AC22" i="1" s="1"/>
  <c r="J23" i="1"/>
  <c r="K23" i="1"/>
  <c r="AC23" i="1" s="1"/>
  <c r="AC4" i="1"/>
  <c r="M4" i="1"/>
  <c r="K4" i="1"/>
  <c r="J4" i="1"/>
  <c r="V41" i="1"/>
  <c r="N41" i="1"/>
  <c r="D41" i="1"/>
  <c r="V40" i="1"/>
  <c r="N40" i="1"/>
  <c r="D40" i="1"/>
  <c r="V39" i="1"/>
  <c r="N39" i="1"/>
  <c r="D39" i="1"/>
  <c r="V38" i="1"/>
  <c r="N38" i="1"/>
  <c r="D38" i="1"/>
  <c r="V37" i="1"/>
  <c r="N37" i="1"/>
  <c r="D37" i="1"/>
  <c r="V36" i="1"/>
  <c r="N36" i="1"/>
  <c r="D36" i="1"/>
  <c r="V35" i="1"/>
  <c r="N35" i="1"/>
  <c r="D35" i="1"/>
  <c r="V34" i="1"/>
  <c r="N34" i="1"/>
  <c r="D34" i="1"/>
  <c r="V33" i="1"/>
  <c r="N33" i="1"/>
  <c r="D33" i="1"/>
  <c r="V32" i="1"/>
  <c r="N32" i="1"/>
  <c r="D32" i="1"/>
  <c r="V31" i="1"/>
  <c r="N31" i="1"/>
  <c r="D31" i="1"/>
  <c r="V30" i="1"/>
  <c r="N30" i="1"/>
  <c r="D30" i="1"/>
  <c r="V29" i="1"/>
  <c r="N29" i="1"/>
  <c r="D29" i="1"/>
  <c r="V28" i="1"/>
  <c r="N28" i="1"/>
  <c r="D28" i="1"/>
  <c r="V27" i="1"/>
  <c r="N27" i="1"/>
  <c r="D27" i="1"/>
  <c r="AC26" i="1"/>
  <c r="D26" i="1"/>
  <c r="V25" i="1"/>
  <c r="N25" i="1"/>
  <c r="D25" i="1"/>
  <c r="M25" i="1" s="1"/>
  <c r="V24" i="1"/>
  <c r="N24" i="1"/>
  <c r="D24" i="1"/>
  <c r="M24" i="1" s="1"/>
  <c r="V23" i="1"/>
  <c r="N23" i="1"/>
  <c r="D23" i="1"/>
  <c r="M23" i="1" s="1"/>
  <c r="V22" i="1"/>
  <c r="O22" i="1"/>
  <c r="Q22" i="1" s="1"/>
  <c r="N22" i="1"/>
  <c r="D22" i="1"/>
  <c r="M22" i="1" s="1"/>
  <c r="V21" i="1"/>
  <c r="O21" i="1"/>
  <c r="Q21" i="1" s="1"/>
  <c r="W21" i="1" s="1"/>
  <c r="X21" i="1" s="1"/>
  <c r="N21" i="1"/>
  <c r="P21" i="1"/>
  <c r="R21" i="1" s="1"/>
  <c r="Y21" i="1" s="1"/>
  <c r="AC21" i="1"/>
  <c r="D21" i="1"/>
  <c r="M21" i="1" s="1"/>
  <c r="V20" i="1"/>
  <c r="N20" i="1"/>
  <c r="P20" i="1"/>
  <c r="R20" i="1" s="1"/>
  <c r="Y20" i="1" s="1"/>
  <c r="D20" i="1"/>
  <c r="M20" i="1" s="1"/>
  <c r="V19" i="1"/>
  <c r="O19" i="1"/>
  <c r="Q19" i="1" s="1"/>
  <c r="W19" i="1" s="1"/>
  <c r="X19" i="1" s="1"/>
  <c r="N19" i="1"/>
  <c r="P19" i="1"/>
  <c r="R19" i="1" s="1"/>
  <c r="Y19" i="1" s="1"/>
  <c r="AC19" i="1"/>
  <c r="D19" i="1"/>
  <c r="M19" i="1" s="1"/>
  <c r="V18" i="1"/>
  <c r="N18" i="1"/>
  <c r="P18" i="1"/>
  <c r="R18" i="1" s="1"/>
  <c r="Y18" i="1" s="1"/>
  <c r="D18" i="1"/>
  <c r="M18" i="1" s="1"/>
  <c r="V17" i="1"/>
  <c r="O17" i="1"/>
  <c r="Q17" i="1" s="1"/>
  <c r="W17" i="1" s="1"/>
  <c r="X17" i="1" s="1"/>
  <c r="N17" i="1"/>
  <c r="P17" i="1"/>
  <c r="R17" i="1" s="1"/>
  <c r="Y17" i="1" s="1"/>
  <c r="AC17" i="1"/>
  <c r="D17" i="1"/>
  <c r="M17" i="1" s="1"/>
  <c r="V16" i="1"/>
  <c r="N16" i="1"/>
  <c r="P16" i="1"/>
  <c r="R16" i="1" s="1"/>
  <c r="Y16" i="1" s="1"/>
  <c r="D16" i="1"/>
  <c r="M16" i="1" s="1"/>
  <c r="V15" i="1"/>
  <c r="O15" i="1"/>
  <c r="Q15" i="1" s="1"/>
  <c r="W15" i="1" s="1"/>
  <c r="X15" i="1" s="1"/>
  <c r="N15" i="1"/>
  <c r="P15" i="1"/>
  <c r="R15" i="1" s="1"/>
  <c r="Y15" i="1" s="1"/>
  <c r="AC15" i="1"/>
  <c r="D15" i="1"/>
  <c r="M15" i="1" s="1"/>
  <c r="V14" i="1"/>
  <c r="N14" i="1"/>
  <c r="P14" i="1"/>
  <c r="R14" i="1" s="1"/>
  <c r="Y14" i="1" s="1"/>
  <c r="D14" i="1"/>
  <c r="M14" i="1" s="1"/>
  <c r="V13" i="1"/>
  <c r="N13" i="1"/>
  <c r="M13" i="1"/>
  <c r="P13" i="1" s="1"/>
  <c r="R13" i="1" s="1"/>
  <c r="Y13" i="1" s="1"/>
  <c r="D13" i="1"/>
  <c r="AC13" i="1" s="1"/>
  <c r="V12" i="1"/>
  <c r="N12" i="1"/>
  <c r="D12" i="1"/>
  <c r="V11" i="1"/>
  <c r="N11" i="1"/>
  <c r="M11" i="1"/>
  <c r="O11" i="1"/>
  <c r="Q11" i="1" s="1"/>
  <c r="D11" i="1"/>
  <c r="AC11" i="1" s="1"/>
  <c r="V10" i="1"/>
  <c r="N10" i="1"/>
  <c r="D10" i="1"/>
  <c r="M10" i="1" s="1"/>
  <c r="P10" i="1" s="1"/>
  <c r="R10" i="1" s="1"/>
  <c r="Y10" i="1" s="1"/>
  <c r="Y9" i="1"/>
  <c r="V9" i="1"/>
  <c r="P9" i="1"/>
  <c r="R9" i="1" s="1"/>
  <c r="N9" i="1"/>
  <c r="M9" i="1"/>
  <c r="AC9" i="1"/>
  <c r="O9" i="1"/>
  <c r="Q9" i="1" s="1"/>
  <c r="D9" i="1"/>
  <c r="V8" i="1"/>
  <c r="N8" i="1"/>
  <c r="D8" i="1"/>
  <c r="M8" i="1" s="1"/>
  <c r="P8" i="1" s="1"/>
  <c r="R8" i="1" s="1"/>
  <c r="Y8" i="1" s="1"/>
  <c r="V7" i="1"/>
  <c r="N7" i="1"/>
  <c r="M7" i="1"/>
  <c r="P7" i="1" s="1"/>
  <c r="R7" i="1" s="1"/>
  <c r="Y7" i="1" s="1"/>
  <c r="D7" i="1"/>
  <c r="AC7" i="1" s="1"/>
  <c r="V6" i="1"/>
  <c r="N6" i="1"/>
  <c r="AC6" i="1"/>
  <c r="D6" i="1"/>
  <c r="M6" i="1" s="1"/>
  <c r="P6" i="1" s="1"/>
  <c r="R6" i="1" s="1"/>
  <c r="Y6" i="1" s="1"/>
  <c r="V5" i="1"/>
  <c r="N5" i="1"/>
  <c r="M5" i="1"/>
  <c r="P5" i="1" s="1"/>
  <c r="R5" i="1" s="1"/>
  <c r="Y5" i="1" s="1"/>
  <c r="AC5" i="1"/>
  <c r="O5" i="1"/>
  <c r="Q5" i="1" s="1"/>
  <c r="D5" i="1"/>
  <c r="V4" i="1"/>
  <c r="N4" i="1"/>
  <c r="D4" i="1"/>
  <c r="P4" i="1" s="1"/>
  <c r="R4" i="1" s="1"/>
  <c r="Y4" i="1" s="1"/>
  <c r="O14" i="1" l="1"/>
  <c r="Q14" i="1" s="1"/>
  <c r="W14" i="1" s="1"/>
  <c r="X14" i="1" s="1"/>
  <c r="O16" i="1"/>
  <c r="Q16" i="1" s="1"/>
  <c r="W16" i="1" s="1"/>
  <c r="X16" i="1" s="1"/>
  <c r="O18" i="1"/>
  <c r="Q18" i="1" s="1"/>
  <c r="W18" i="1" s="1"/>
  <c r="X18" i="1" s="1"/>
  <c r="O20" i="1"/>
  <c r="Q20" i="1" s="1"/>
  <c r="W20" i="1" s="1"/>
  <c r="X20" i="1" s="1"/>
  <c r="Z6" i="1"/>
  <c r="S6" i="1"/>
  <c r="T6" i="1" s="1"/>
  <c r="W6" i="1"/>
  <c r="X6" i="1" s="1"/>
  <c r="Z4" i="1"/>
  <c r="O7" i="1"/>
  <c r="Q7" i="1" s="1"/>
  <c r="Z8" i="1"/>
  <c r="Z10" i="1"/>
  <c r="AB21" i="1"/>
  <c r="W5" i="1"/>
  <c r="X5" i="1" s="1"/>
  <c r="S5" i="1"/>
  <c r="T5" i="1" s="1"/>
  <c r="Z7" i="1"/>
  <c r="W9" i="1"/>
  <c r="X9" i="1" s="1"/>
  <c r="S9" i="1"/>
  <c r="T9" i="1" s="1"/>
  <c r="W11" i="1"/>
  <c r="X11" i="1" s="1"/>
  <c r="AB19" i="1"/>
  <c r="Z5" i="1"/>
  <c r="Z13" i="1"/>
  <c r="AA19" i="1"/>
  <c r="Z19" i="1"/>
  <c r="AA21" i="1"/>
  <c r="Z21" i="1"/>
  <c r="W22" i="1"/>
  <c r="X22" i="1" s="1"/>
  <c r="AC30" i="1"/>
  <c r="M30" i="1"/>
  <c r="AC34" i="1"/>
  <c r="M34" i="1"/>
  <c r="M38" i="1"/>
  <c r="Z9" i="1"/>
  <c r="P11" i="1"/>
  <c r="R11" i="1" s="1"/>
  <c r="Y11" i="1" s="1"/>
  <c r="S18" i="1"/>
  <c r="T18" i="1" s="1"/>
  <c r="S20" i="1"/>
  <c r="T20" i="1" s="1"/>
  <c r="AC27" i="1"/>
  <c r="M27" i="1"/>
  <c r="P27" i="1" s="1"/>
  <c r="R27" i="1" s="1"/>
  <c r="Y27" i="1" s="1"/>
  <c r="AC31" i="1"/>
  <c r="M31" i="1"/>
  <c r="P31" i="1" s="1"/>
  <c r="R31" i="1" s="1"/>
  <c r="Y31" i="1" s="1"/>
  <c r="AC35" i="1"/>
  <c r="M35" i="1"/>
  <c r="P35" i="1" s="1"/>
  <c r="R35" i="1" s="1"/>
  <c r="Y35" i="1" s="1"/>
  <c r="M39" i="1"/>
  <c r="P39" i="1" s="1"/>
  <c r="R39" i="1" s="1"/>
  <c r="Y39" i="1" s="1"/>
  <c r="O12" i="1"/>
  <c r="Q12" i="1" s="1"/>
  <c r="AA17" i="1"/>
  <c r="Z17" i="1"/>
  <c r="AB17" i="1" s="1"/>
  <c r="O13" i="1"/>
  <c r="Q13" i="1" s="1"/>
  <c r="Z14" i="1"/>
  <c r="AA16" i="1"/>
  <c r="Z16" i="1"/>
  <c r="AB16" i="1" s="1"/>
  <c r="AA18" i="1"/>
  <c r="Z18" i="1"/>
  <c r="AB18" i="1" s="1"/>
  <c r="AA20" i="1"/>
  <c r="Z20" i="1"/>
  <c r="AB20" i="1" s="1"/>
  <c r="AC28" i="1"/>
  <c r="M28" i="1"/>
  <c r="M32" i="1"/>
  <c r="P32" i="1" s="1"/>
  <c r="R32" i="1" s="1"/>
  <c r="Y32" i="1" s="1"/>
  <c r="AC36" i="1"/>
  <c r="M36" i="1"/>
  <c r="M40" i="1"/>
  <c r="P40" i="1" s="1"/>
  <c r="R40" i="1" s="1"/>
  <c r="Y40" i="1" s="1"/>
  <c r="AA15" i="1"/>
  <c r="Z15" i="1"/>
  <c r="AB15" i="1" s="1"/>
  <c r="AC10" i="1"/>
  <c r="M12" i="1"/>
  <c r="P12" i="1" s="1"/>
  <c r="R12" i="1" s="1"/>
  <c r="Y12" i="1" s="1"/>
  <c r="AC12" i="1"/>
  <c r="S15" i="1"/>
  <c r="T15" i="1" s="1"/>
  <c r="S17" i="1"/>
  <c r="T17" i="1" s="1"/>
  <c r="S19" i="1"/>
  <c r="T19" i="1" s="1"/>
  <c r="S21" i="1"/>
  <c r="T21" i="1" s="1"/>
  <c r="AC24" i="1"/>
  <c r="O24" i="1"/>
  <c r="Q24" i="1" s="1"/>
  <c r="AC29" i="1"/>
  <c r="M29" i="1"/>
  <c r="AC33" i="1"/>
  <c r="M33" i="1"/>
  <c r="P33" i="1" s="1"/>
  <c r="R33" i="1" s="1"/>
  <c r="Y33" i="1" s="1"/>
  <c r="AC37" i="1"/>
  <c r="M37" i="1"/>
  <c r="M41" i="1"/>
  <c r="P41" i="1" s="1"/>
  <c r="R41" i="1" s="1"/>
  <c r="Y41" i="1" s="1"/>
  <c r="P22" i="1"/>
  <c r="R22" i="1" s="1"/>
  <c r="Y22" i="1" s="1"/>
  <c r="O23" i="1"/>
  <c r="Q23" i="1" s="1"/>
  <c r="P24" i="1"/>
  <c r="R24" i="1" s="1"/>
  <c r="Y24" i="1" s="1"/>
  <c r="O25" i="1"/>
  <c r="Q25" i="1" s="1"/>
  <c r="O27" i="1"/>
  <c r="Q27" i="1" s="1"/>
  <c r="O29" i="1"/>
  <c r="Q29" i="1" s="1"/>
  <c r="O31" i="1"/>
  <c r="Q31" i="1" s="1"/>
  <c r="O32" i="1"/>
  <c r="Q32" i="1" s="1"/>
  <c r="O33" i="1"/>
  <c r="Q33" i="1" s="1"/>
  <c r="O35" i="1"/>
  <c r="Q35" i="1" s="1"/>
  <c r="O37" i="1"/>
  <c r="Q37" i="1" s="1"/>
  <c r="P28" i="1"/>
  <c r="R28" i="1" s="1"/>
  <c r="Y28" i="1" s="1"/>
  <c r="P29" i="1"/>
  <c r="R29" i="1" s="1"/>
  <c r="Y29" i="1" s="1"/>
  <c r="P30" i="1"/>
  <c r="R30" i="1" s="1"/>
  <c r="Y30" i="1" s="1"/>
  <c r="P34" i="1"/>
  <c r="R34" i="1" s="1"/>
  <c r="Y34" i="1" s="1"/>
  <c r="P36" i="1"/>
  <c r="R36" i="1" s="1"/>
  <c r="Y36" i="1" s="1"/>
  <c r="P37" i="1"/>
  <c r="R37" i="1" s="1"/>
  <c r="Y37" i="1" s="1"/>
  <c r="P38" i="1"/>
  <c r="R38" i="1" s="1"/>
  <c r="Y38" i="1" s="1"/>
  <c r="P23" i="1"/>
  <c r="R23" i="1" s="1"/>
  <c r="Y23" i="1" s="1"/>
  <c r="P25" i="1"/>
  <c r="R25" i="1" s="1"/>
  <c r="Y25" i="1" s="1"/>
  <c r="AB14" i="1" l="1"/>
  <c r="S16" i="1"/>
  <c r="T16" i="1" s="1"/>
  <c r="AA14" i="1"/>
  <c r="S14" i="1"/>
  <c r="T14" i="1" s="1"/>
  <c r="Z35" i="1"/>
  <c r="Z27" i="1"/>
  <c r="Z41" i="1"/>
  <c r="Z33" i="1"/>
  <c r="Z40" i="1"/>
  <c r="Z32" i="1"/>
  <c r="Z39" i="1"/>
  <c r="Z31" i="1"/>
  <c r="Z23" i="1"/>
  <c r="Z30" i="1"/>
  <c r="S29" i="1"/>
  <c r="T29" i="1" s="1"/>
  <c r="W29" i="1"/>
  <c r="X29" i="1" s="1"/>
  <c r="AC41" i="1"/>
  <c r="O41" i="1"/>
  <c r="Q41" i="1" s="1"/>
  <c r="W13" i="1"/>
  <c r="S13" i="1"/>
  <c r="T13" i="1" s="1"/>
  <c r="AA11" i="1"/>
  <c r="Z11" i="1"/>
  <c r="AB11" i="1" s="1"/>
  <c r="AC38" i="1"/>
  <c r="O38" i="1"/>
  <c r="Q38" i="1" s="1"/>
  <c r="S11" i="1"/>
  <c r="T11" i="1" s="1"/>
  <c r="Z37" i="1"/>
  <c r="Z29" i="1"/>
  <c r="O36" i="1"/>
  <c r="Q36" i="1" s="1"/>
  <c r="S32" i="1"/>
  <c r="T32" i="1" s="1"/>
  <c r="W32" i="1"/>
  <c r="X32" i="1" s="1"/>
  <c r="O28" i="1"/>
  <c r="Q28" i="1" s="1"/>
  <c r="W23" i="1"/>
  <c r="X23" i="1" s="1"/>
  <c r="S23" i="1"/>
  <c r="T23" i="1" s="1"/>
  <c r="AC40" i="1"/>
  <c r="O40" i="1"/>
  <c r="Q40" i="1" s="1"/>
  <c r="AC39" i="1"/>
  <c r="O39" i="1"/>
  <c r="Q39" i="1" s="1"/>
  <c r="O10" i="1"/>
  <c r="Q10" i="1" s="1"/>
  <c r="AA9" i="1"/>
  <c r="Z34" i="1"/>
  <c r="S33" i="1"/>
  <c r="T33" i="1" s="1"/>
  <c r="W33" i="1"/>
  <c r="X33" i="1" s="1"/>
  <c r="AB33" i="1" s="1"/>
  <c r="Z36" i="1"/>
  <c r="Z28" i="1"/>
  <c r="S31" i="1"/>
  <c r="T31" i="1" s="1"/>
  <c r="W31" i="1"/>
  <c r="X31" i="1" s="1"/>
  <c r="AB31" i="1" s="1"/>
  <c r="AA22" i="1"/>
  <c r="Z22" i="1"/>
  <c r="AB22" i="1" s="1"/>
  <c r="Z12" i="1"/>
  <c r="S22" i="1"/>
  <c r="T22" i="1" s="1"/>
  <c r="AB9" i="1"/>
  <c r="AB5" i="1"/>
  <c r="W7" i="1"/>
  <c r="S7" i="1"/>
  <c r="T7" i="1" s="1"/>
  <c r="Z38" i="1"/>
  <c r="S37" i="1"/>
  <c r="T37" i="1" s="1"/>
  <c r="W37" i="1"/>
  <c r="X37" i="1" s="1"/>
  <c r="Z24" i="1"/>
  <c r="AC8" i="1"/>
  <c r="O8" i="1"/>
  <c r="Q8" i="1" s="1"/>
  <c r="S35" i="1"/>
  <c r="T35" i="1" s="1"/>
  <c r="W35" i="1"/>
  <c r="X35" i="1" s="1"/>
  <c r="S27" i="1"/>
  <c r="T27" i="1" s="1"/>
  <c r="W27" i="1"/>
  <c r="X27" i="1" s="1"/>
  <c r="Z25" i="1"/>
  <c r="O34" i="1"/>
  <c r="Q34" i="1" s="1"/>
  <c r="O30" i="1"/>
  <c r="Q30" i="1" s="1"/>
  <c r="W25" i="1"/>
  <c r="X25" i="1" s="1"/>
  <c r="S25" i="1"/>
  <c r="T25" i="1" s="1"/>
  <c r="W24" i="1"/>
  <c r="X24" i="1" s="1"/>
  <c r="AB24" i="1" s="1"/>
  <c r="S24" i="1"/>
  <c r="T24" i="1" s="1"/>
  <c r="S12" i="1"/>
  <c r="T12" i="1" s="1"/>
  <c r="W12" i="1"/>
  <c r="X12" i="1" s="1"/>
  <c r="AB12" i="1" s="1"/>
  <c r="AA5" i="1"/>
  <c r="O4" i="1"/>
  <c r="Q4" i="1" s="1"/>
  <c r="AB6" i="1"/>
  <c r="AA6" i="1"/>
  <c r="AA29" i="1" l="1"/>
  <c r="AA37" i="1"/>
  <c r="AA12" i="1"/>
  <c r="AB32" i="1"/>
  <c r="AB29" i="1"/>
  <c r="AB25" i="1"/>
  <c r="W4" i="1"/>
  <c r="S4" i="1"/>
  <c r="T4" i="1" s="1"/>
  <c r="AA25" i="1"/>
  <c r="AA24" i="1"/>
  <c r="AB23" i="1"/>
  <c r="S36" i="1"/>
  <c r="T36" i="1" s="1"/>
  <c r="W36" i="1"/>
  <c r="S41" i="1"/>
  <c r="T41" i="1" s="1"/>
  <c r="W41" i="1"/>
  <c r="S30" i="1"/>
  <c r="T30" i="1" s="1"/>
  <c r="W30" i="1"/>
  <c r="AB27" i="1"/>
  <c r="S8" i="1"/>
  <c r="T8" i="1" s="1"/>
  <c r="W8" i="1"/>
  <c r="AB37" i="1"/>
  <c r="S40" i="1"/>
  <c r="T40" i="1" s="1"/>
  <c r="W40" i="1"/>
  <c r="S28" i="1"/>
  <c r="T28" i="1" s="1"/>
  <c r="W28" i="1"/>
  <c r="AA31" i="1"/>
  <c r="AA32" i="1"/>
  <c r="AA33" i="1"/>
  <c r="AA27" i="1"/>
  <c r="S34" i="1"/>
  <c r="T34" i="1" s="1"/>
  <c r="W34" i="1"/>
  <c r="X7" i="1"/>
  <c r="AB7" i="1" s="1"/>
  <c r="AA7" i="1"/>
  <c r="S10" i="1"/>
  <c r="T10" i="1" s="1"/>
  <c r="W10" i="1"/>
  <c r="S38" i="1"/>
  <c r="T38" i="1" s="1"/>
  <c r="W38" i="1"/>
  <c r="AB35" i="1"/>
  <c r="S39" i="1"/>
  <c r="T39" i="1" s="1"/>
  <c r="W39" i="1"/>
  <c r="X13" i="1"/>
  <c r="AB13" i="1" s="1"/>
  <c r="AA13" i="1"/>
  <c r="AA23" i="1"/>
  <c r="AA35" i="1"/>
  <c r="X38" i="1" l="1"/>
  <c r="AB38" i="1" s="1"/>
  <c r="AA38" i="1"/>
  <c r="X28" i="1"/>
  <c r="AB28" i="1" s="1"/>
  <c r="AA28" i="1"/>
  <c r="X30" i="1"/>
  <c r="AB30" i="1" s="1"/>
  <c r="AA30" i="1"/>
  <c r="X36" i="1"/>
  <c r="AB36" i="1" s="1"/>
  <c r="AA36" i="1"/>
  <c r="X39" i="1"/>
  <c r="AB39" i="1" s="1"/>
  <c r="AA39" i="1"/>
  <c r="X8" i="1"/>
  <c r="AB8" i="1" s="1"/>
  <c r="AA8" i="1"/>
  <c r="X10" i="1"/>
  <c r="AB10" i="1" s="1"/>
  <c r="AA10" i="1"/>
  <c r="X34" i="1"/>
  <c r="AB34" i="1" s="1"/>
  <c r="AA34" i="1"/>
  <c r="X40" i="1"/>
  <c r="AB40" i="1" s="1"/>
  <c r="AA40" i="1"/>
  <c r="X41" i="1"/>
  <c r="AB41" i="1" s="1"/>
  <c r="AA41" i="1"/>
  <c r="X4" i="1"/>
  <c r="AB4" i="1" s="1"/>
  <c r="AA4" i="1"/>
</calcChain>
</file>

<file path=xl/sharedStrings.xml><?xml version="1.0" encoding="utf-8"?>
<sst xmlns="http://schemas.openxmlformats.org/spreadsheetml/2006/main" count="41" uniqueCount="34">
  <si>
    <t>Size</t>
  </si>
  <si>
    <t>Pipe OD</t>
  </si>
  <si>
    <t>Circum</t>
  </si>
  <si>
    <t>Bellows L/s</t>
  </si>
  <si>
    <t>Pipe length</t>
  </si>
  <si>
    <t>Pipe thickness</t>
  </si>
  <si>
    <t>Lug</t>
  </si>
  <si>
    <t>width</t>
  </si>
  <si>
    <t>Tig</t>
  </si>
  <si>
    <t>Mig</t>
  </si>
  <si>
    <t>Pipe to flange</t>
  </si>
  <si>
    <t>Lugs</t>
  </si>
  <si>
    <t>thk</t>
  </si>
  <si>
    <t>TIG</t>
  </si>
  <si>
    <t>Total</t>
  </si>
  <si>
    <t>MIG</t>
  </si>
  <si>
    <t>Inch</t>
  </si>
  <si>
    <t>Bellows to weldend + Sleeve to weldend</t>
  </si>
  <si>
    <t>Inch/size</t>
  </si>
  <si>
    <t>Feet/Size</t>
  </si>
  <si>
    <t>Total MM</t>
  </si>
  <si>
    <t>Single Bellows Total welding details in MM, Inch, Feet</t>
  </si>
  <si>
    <t>Bellows+collar+sleeve Long Seam</t>
  </si>
  <si>
    <t>TIG         (Inch)</t>
  </si>
  <si>
    <t>MIG       (Inch)</t>
  </si>
  <si>
    <t>TIG         (Feet)</t>
  </si>
  <si>
    <t>MIG       (Feet)</t>
  </si>
  <si>
    <t>Total      (Inch)</t>
  </si>
  <si>
    <t>FOR PRODUCTION SUPERVISOR</t>
  </si>
  <si>
    <t>Bellows Total welding details in Inch, Feet. ( Standard Bellows Single with IS 1538 Flanges and 3 Limit Rods)</t>
  </si>
  <si>
    <t>Total   welding   (Feet)</t>
  </si>
  <si>
    <t>A15-L1</t>
  </si>
  <si>
    <t>Drinding Sq. Feet</t>
  </si>
  <si>
    <t>Pipe /Spool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</si>
</sst>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1"/>
  <sheetViews>
    <sheetView tabSelected="1" topLeftCell="E1" workbookViewId="0">
      <pane ySplit="3" topLeftCell="A4" activePane="bottomLeft" state="frozen"/>
      <selection pane="bottomLeft" activeCell="K51" sqref="K51"/>
    </sheetView>
  </sheetViews>
  <sheetFormatPr defaultRowHeight="15" x14ac:dyDescent="0.25"/>
  <cols>
    <col min="4" max="4" width="9.42578125" customWidth="1"/>
    <col min="5" max="5" width="11.7109375" customWidth="1"/>
    <col min="6" max="6" width="12.140625" customWidth="1"/>
    <col min="7" max="7" width="14.85546875" customWidth="1"/>
    <col min="10" max="10" width="14.85546875" customWidth="1"/>
    <col min="11" max="11" width="19.7109375" customWidth="1"/>
    <col min="13" max="13" width="12.7109375" customWidth="1"/>
  </cols>
  <sheetData>
    <row r="1" spans="2:29" ht="26.25" customHeight="1" x14ac:dyDescent="0.25">
      <c r="B1" s="19" t="s">
        <v>21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V1" s="20" t="s">
        <v>28</v>
      </c>
      <c r="W1" s="21"/>
      <c r="X1" s="21"/>
      <c r="Y1" s="21"/>
      <c r="Z1" s="21"/>
      <c r="AA1" s="21"/>
      <c r="AB1" s="21"/>
      <c r="AC1" s="22"/>
    </row>
    <row r="2" spans="2:29" ht="48" customHeight="1" x14ac:dyDescent="0.3">
      <c r="B2" s="5"/>
      <c r="C2" s="5"/>
      <c r="D2" s="5"/>
      <c r="E2" s="5"/>
      <c r="F2" s="5"/>
      <c r="G2" s="5"/>
      <c r="H2" s="5" t="s">
        <v>6</v>
      </c>
      <c r="I2" s="5" t="s">
        <v>6</v>
      </c>
      <c r="J2" s="16" t="s">
        <v>8</v>
      </c>
      <c r="K2" s="17"/>
      <c r="L2" s="16" t="s">
        <v>9</v>
      </c>
      <c r="M2" s="18"/>
      <c r="N2" s="17"/>
      <c r="O2" s="5" t="s">
        <v>13</v>
      </c>
      <c r="P2" s="5" t="s">
        <v>15</v>
      </c>
      <c r="Q2" s="5" t="s">
        <v>13</v>
      </c>
      <c r="R2" s="5" t="s">
        <v>9</v>
      </c>
      <c r="S2" s="5" t="s">
        <v>14</v>
      </c>
      <c r="T2" s="5" t="s">
        <v>14</v>
      </c>
      <c r="V2" s="20" t="s">
        <v>29</v>
      </c>
      <c r="W2" s="21"/>
      <c r="X2" s="21"/>
      <c r="Y2" s="21"/>
      <c r="Z2" s="21"/>
      <c r="AA2" s="21"/>
      <c r="AB2" s="21"/>
      <c r="AC2" s="22"/>
    </row>
    <row r="3" spans="2:29" ht="75" x14ac:dyDescent="0.25">
      <c r="B3" s="6" t="s">
        <v>0</v>
      </c>
      <c r="C3" s="6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7</v>
      </c>
      <c r="I3" s="4" t="s">
        <v>12</v>
      </c>
      <c r="J3" s="4" t="s">
        <v>22</v>
      </c>
      <c r="K3" s="4" t="s">
        <v>17</v>
      </c>
      <c r="L3" s="4" t="s">
        <v>33</v>
      </c>
      <c r="M3" s="4" t="s">
        <v>10</v>
      </c>
      <c r="N3" s="4" t="s">
        <v>11</v>
      </c>
      <c r="O3" s="4" t="s">
        <v>20</v>
      </c>
      <c r="P3" s="4" t="s">
        <v>20</v>
      </c>
      <c r="Q3" s="4" t="s">
        <v>16</v>
      </c>
      <c r="R3" s="4" t="s">
        <v>16</v>
      </c>
      <c r="S3" s="4" t="s">
        <v>18</v>
      </c>
      <c r="T3" s="4" t="s">
        <v>19</v>
      </c>
      <c r="V3" s="4" t="s">
        <v>0</v>
      </c>
      <c r="W3" s="7" t="s">
        <v>23</v>
      </c>
      <c r="X3" s="7" t="s">
        <v>25</v>
      </c>
      <c r="Y3" s="7" t="s">
        <v>24</v>
      </c>
      <c r="Z3" s="7" t="s">
        <v>26</v>
      </c>
      <c r="AA3" s="7" t="s">
        <v>27</v>
      </c>
      <c r="AB3" s="12" t="s">
        <v>30</v>
      </c>
      <c r="AC3" s="13" t="s">
        <v>32</v>
      </c>
    </row>
    <row r="4" spans="2:29" ht="18.75" x14ac:dyDescent="0.25">
      <c r="B4" s="1">
        <v>50</v>
      </c>
      <c r="C4" s="1">
        <v>61</v>
      </c>
      <c r="D4" s="2">
        <f>C4*3.1428571</f>
        <v>191.71428310000002</v>
      </c>
      <c r="E4" s="2">
        <v>650</v>
      </c>
      <c r="F4" s="2">
        <v>0</v>
      </c>
      <c r="G4" s="2">
        <v>5</v>
      </c>
      <c r="H4" s="2">
        <v>50</v>
      </c>
      <c r="I4" s="2">
        <v>16</v>
      </c>
      <c r="J4" s="2">
        <f>(E4+40+200)*2</f>
        <v>1780</v>
      </c>
      <c r="K4" s="2">
        <f>D4*6</f>
        <v>1150.2856986000002</v>
      </c>
      <c r="L4" s="2">
        <v>250</v>
      </c>
      <c r="M4" s="2">
        <f>D4*4</f>
        <v>766.85713240000007</v>
      </c>
      <c r="N4" s="2">
        <f>(H4+I4)*2*6</f>
        <v>792</v>
      </c>
      <c r="O4" s="2">
        <f>SUM(J4:K4)</f>
        <v>2930.2856986000002</v>
      </c>
      <c r="P4" s="2">
        <f>SUM(M4:N4)</f>
        <v>1558.8571324</v>
      </c>
      <c r="Q4" s="2">
        <f>O4/25.4</f>
        <v>115.36557868503938</v>
      </c>
      <c r="R4" s="2">
        <f>P4/25.4</f>
        <v>61.372328047244096</v>
      </c>
      <c r="S4" s="2">
        <f>SUM(Q4:R4)</f>
        <v>176.73790673228348</v>
      </c>
      <c r="T4" s="3">
        <f>S4/12</f>
        <v>14.728158894356957</v>
      </c>
      <c r="V4" s="8">
        <f>B4</f>
        <v>50</v>
      </c>
      <c r="W4" s="9">
        <f>Q4</f>
        <v>115.36557868503938</v>
      </c>
      <c r="X4" s="10">
        <f>W4/12</f>
        <v>9.6137982237532817</v>
      </c>
      <c r="Y4" s="9">
        <f>R4</f>
        <v>61.372328047244096</v>
      </c>
      <c r="Z4" s="10">
        <f>Y4/12</f>
        <v>5.1143606706036744</v>
      </c>
      <c r="AA4" s="9">
        <f>Y4+W4</f>
        <v>176.73790673228348</v>
      </c>
      <c r="AB4" s="14">
        <f>X4+Z4</f>
        <v>14.728158894356955</v>
      </c>
      <c r="AC4" s="15">
        <f>((K4*L4)/92416)/2</f>
        <v>1.5558530159820814</v>
      </c>
    </row>
    <row r="5" spans="2:29" ht="18.75" x14ac:dyDescent="0.25">
      <c r="B5" s="1">
        <v>80</v>
      </c>
      <c r="C5" s="1">
        <v>89</v>
      </c>
      <c r="D5" s="2">
        <f t="shared" ref="D5:D13" si="0">C5*3.1428571</f>
        <v>279.7142819</v>
      </c>
      <c r="E5" s="2">
        <v>650</v>
      </c>
      <c r="F5" s="2">
        <v>0</v>
      </c>
      <c r="G5" s="2">
        <v>5</v>
      </c>
      <c r="H5" s="2">
        <v>50</v>
      </c>
      <c r="I5" s="2">
        <v>16</v>
      </c>
      <c r="J5" s="2">
        <f t="shared" ref="J5:J23" si="1">(E5+40+200)*2</f>
        <v>1780</v>
      </c>
      <c r="K5" s="2">
        <f t="shared" ref="K5:K23" si="2">D5*6</f>
        <v>1678.2856913999999</v>
      </c>
      <c r="L5" s="2">
        <v>250</v>
      </c>
      <c r="M5" s="2">
        <f t="shared" ref="M5:M25" si="3">D5*4</f>
        <v>1118.8571276</v>
      </c>
      <c r="N5" s="2">
        <f t="shared" ref="N5:N25" si="4">(H5+I5)*2*6</f>
        <v>792</v>
      </c>
      <c r="O5" s="2">
        <f t="shared" ref="O5:O25" si="5">SUM(J5:K5)</f>
        <v>3458.2856913999999</v>
      </c>
      <c r="P5" s="2">
        <f t="shared" ref="P5:P13" si="6">SUM(M5:N5)</f>
        <v>1910.8571276</v>
      </c>
      <c r="Q5" s="2">
        <f t="shared" ref="Q5:R25" si="7">O5/25.4</f>
        <v>136.15297997637796</v>
      </c>
      <c r="R5" s="2">
        <f t="shared" si="7"/>
        <v>75.230595574803161</v>
      </c>
      <c r="S5" s="2">
        <f t="shared" ref="S5:S25" si="8">SUM(Q5:R5)</f>
        <v>211.38357555118114</v>
      </c>
      <c r="T5" s="3">
        <f t="shared" ref="T5:T24" si="9">S5/12</f>
        <v>17.615297962598429</v>
      </c>
      <c r="V5" s="8">
        <f t="shared" ref="V5:V25" si="10">B5</f>
        <v>80</v>
      </c>
      <c r="W5" s="9">
        <f t="shared" ref="W5:W25" si="11">Q5</f>
        <v>136.15297997637796</v>
      </c>
      <c r="X5" s="10">
        <f t="shared" ref="X5:X25" si="12">W5/12</f>
        <v>11.346081664698163</v>
      </c>
      <c r="Y5" s="9">
        <f t="shared" ref="Y5:Y25" si="13">R5</f>
        <v>75.230595574803161</v>
      </c>
      <c r="Z5" s="10">
        <f t="shared" ref="Z5:Z25" si="14">Y5/12</f>
        <v>6.2692162979002637</v>
      </c>
      <c r="AA5" s="9">
        <f t="shared" ref="AA5:AA25" si="15">Y5+W5</f>
        <v>211.38357555118114</v>
      </c>
      <c r="AB5" s="14">
        <f t="shared" ref="AB5:AB25" si="16">X5+Z5</f>
        <v>17.615297962598426</v>
      </c>
      <c r="AC5" s="15">
        <f t="shared" ref="AC5:AC41" si="17">((K5*L5)/92416)/2</f>
        <v>2.2700150561050032</v>
      </c>
    </row>
    <row r="6" spans="2:29" ht="18.75" x14ac:dyDescent="0.25">
      <c r="B6" s="1">
        <v>100</v>
      </c>
      <c r="C6" s="1">
        <v>114</v>
      </c>
      <c r="D6" s="2">
        <f t="shared" si="0"/>
        <v>358.28570940000003</v>
      </c>
      <c r="E6" s="2">
        <v>650</v>
      </c>
      <c r="F6" s="2">
        <v>0</v>
      </c>
      <c r="G6" s="2">
        <v>5</v>
      </c>
      <c r="H6" s="2">
        <v>50</v>
      </c>
      <c r="I6" s="2">
        <v>16</v>
      </c>
      <c r="J6" s="2">
        <f t="shared" si="1"/>
        <v>1780</v>
      </c>
      <c r="K6" s="2">
        <f t="shared" si="2"/>
        <v>2149.7142564000001</v>
      </c>
      <c r="L6" s="2">
        <v>250</v>
      </c>
      <c r="M6" s="2">
        <f t="shared" si="3"/>
        <v>1433.1428376000001</v>
      </c>
      <c r="N6" s="2">
        <f t="shared" si="4"/>
        <v>792</v>
      </c>
      <c r="O6" s="2">
        <f t="shared" si="5"/>
        <v>3929.7142564000001</v>
      </c>
      <c r="P6" s="2">
        <f t="shared" si="6"/>
        <v>2225.1428376000003</v>
      </c>
      <c r="Q6" s="2">
        <f t="shared" si="7"/>
        <v>154.7131597007874</v>
      </c>
      <c r="R6" s="2">
        <f t="shared" si="7"/>
        <v>87.604048724409466</v>
      </c>
      <c r="S6" s="2">
        <f t="shared" si="8"/>
        <v>242.31720842519687</v>
      </c>
      <c r="T6" s="3">
        <f t="shared" si="9"/>
        <v>20.193100702099738</v>
      </c>
      <c r="V6" s="8">
        <f t="shared" si="10"/>
        <v>100</v>
      </c>
      <c r="W6" s="9">
        <f t="shared" si="11"/>
        <v>154.7131597007874</v>
      </c>
      <c r="X6" s="10">
        <f t="shared" si="12"/>
        <v>12.892763308398949</v>
      </c>
      <c r="Y6" s="9">
        <f t="shared" si="13"/>
        <v>87.604048724409466</v>
      </c>
      <c r="Z6" s="10">
        <f t="shared" si="14"/>
        <v>7.3003373937007892</v>
      </c>
      <c r="AA6" s="9">
        <f t="shared" si="15"/>
        <v>242.31720842519687</v>
      </c>
      <c r="AB6" s="14">
        <f t="shared" si="16"/>
        <v>20.193100702099738</v>
      </c>
      <c r="AC6" s="15">
        <f t="shared" si="17"/>
        <v>2.9076597347861841</v>
      </c>
    </row>
    <row r="7" spans="2:29" ht="18.75" x14ac:dyDescent="0.25">
      <c r="B7" s="1">
        <v>150</v>
      </c>
      <c r="C7" s="1">
        <v>169</v>
      </c>
      <c r="D7" s="2">
        <f t="shared" si="0"/>
        <v>531.14284989999999</v>
      </c>
      <c r="E7" s="2">
        <v>650</v>
      </c>
      <c r="F7" s="2">
        <v>0</v>
      </c>
      <c r="G7" s="2">
        <v>5</v>
      </c>
      <c r="H7" s="2">
        <v>50</v>
      </c>
      <c r="I7" s="2">
        <v>16</v>
      </c>
      <c r="J7" s="2">
        <f t="shared" si="1"/>
        <v>1780</v>
      </c>
      <c r="K7" s="2">
        <f t="shared" si="2"/>
        <v>3186.8570994000002</v>
      </c>
      <c r="L7" s="2">
        <v>250</v>
      </c>
      <c r="M7" s="2">
        <f t="shared" si="3"/>
        <v>2124.5713995999999</v>
      </c>
      <c r="N7" s="2">
        <f t="shared" si="4"/>
        <v>792</v>
      </c>
      <c r="O7" s="2">
        <f t="shared" si="5"/>
        <v>4966.8570994000002</v>
      </c>
      <c r="P7" s="2">
        <f t="shared" si="6"/>
        <v>2916.5713995999999</v>
      </c>
      <c r="Q7" s="2">
        <f t="shared" si="7"/>
        <v>195.54555509448821</v>
      </c>
      <c r="R7" s="2">
        <f t="shared" si="7"/>
        <v>114.8256456535433</v>
      </c>
      <c r="S7" s="2">
        <f t="shared" si="8"/>
        <v>310.37120074803153</v>
      </c>
      <c r="T7" s="3">
        <f t="shared" si="9"/>
        <v>25.864266729002626</v>
      </c>
      <c r="V7" s="8">
        <f t="shared" si="10"/>
        <v>150</v>
      </c>
      <c r="W7" s="9">
        <f t="shared" si="11"/>
        <v>195.54555509448821</v>
      </c>
      <c r="X7" s="10">
        <f t="shared" si="12"/>
        <v>16.295462924540683</v>
      </c>
      <c r="Y7" s="9">
        <f t="shared" si="13"/>
        <v>114.8256456535433</v>
      </c>
      <c r="Z7" s="10">
        <f t="shared" si="14"/>
        <v>9.5688038044619415</v>
      </c>
      <c r="AA7" s="9">
        <f t="shared" si="15"/>
        <v>310.37120074803153</v>
      </c>
      <c r="AB7" s="14">
        <f t="shared" si="16"/>
        <v>25.864266729002622</v>
      </c>
      <c r="AC7" s="15">
        <f t="shared" si="17"/>
        <v>4.3104780278847823</v>
      </c>
    </row>
    <row r="8" spans="2:29" ht="18.75" x14ac:dyDescent="0.25">
      <c r="B8" s="1">
        <v>200</v>
      </c>
      <c r="C8" s="1">
        <v>219</v>
      </c>
      <c r="D8" s="2">
        <f t="shared" si="0"/>
        <v>688.28570490000004</v>
      </c>
      <c r="E8" s="2">
        <v>700</v>
      </c>
      <c r="F8" s="2">
        <v>0</v>
      </c>
      <c r="G8" s="2">
        <v>5</v>
      </c>
      <c r="H8" s="2">
        <v>50</v>
      </c>
      <c r="I8" s="2">
        <v>16</v>
      </c>
      <c r="J8" s="2">
        <f t="shared" si="1"/>
        <v>1880</v>
      </c>
      <c r="K8" s="2">
        <f t="shared" si="2"/>
        <v>4129.7142294000005</v>
      </c>
      <c r="L8" s="2">
        <v>250</v>
      </c>
      <c r="M8" s="2">
        <f t="shared" si="3"/>
        <v>2753.1428196000002</v>
      </c>
      <c r="N8" s="2">
        <f t="shared" si="4"/>
        <v>792</v>
      </c>
      <c r="O8" s="2">
        <f t="shared" si="5"/>
        <v>6009.7142294000005</v>
      </c>
      <c r="P8" s="2">
        <f t="shared" si="6"/>
        <v>3545.1428196000002</v>
      </c>
      <c r="Q8" s="2">
        <f t="shared" si="7"/>
        <v>236.60292241732287</v>
      </c>
      <c r="R8" s="2">
        <f t="shared" si="7"/>
        <v>139.57255195275593</v>
      </c>
      <c r="S8" s="2">
        <f t="shared" si="8"/>
        <v>376.1754743700788</v>
      </c>
      <c r="T8" s="3">
        <f t="shared" si="9"/>
        <v>31.347956197506566</v>
      </c>
      <c r="V8" s="8">
        <f t="shared" si="10"/>
        <v>200</v>
      </c>
      <c r="W8" s="9">
        <f t="shared" si="11"/>
        <v>236.60292241732287</v>
      </c>
      <c r="X8" s="10">
        <f t="shared" si="12"/>
        <v>19.716910201443572</v>
      </c>
      <c r="Y8" s="9">
        <f t="shared" si="13"/>
        <v>139.57255195275593</v>
      </c>
      <c r="Z8" s="10">
        <f t="shared" si="14"/>
        <v>11.631045996062994</v>
      </c>
      <c r="AA8" s="9">
        <f t="shared" si="15"/>
        <v>376.1754743700788</v>
      </c>
      <c r="AB8" s="14">
        <f t="shared" si="16"/>
        <v>31.347956197506566</v>
      </c>
      <c r="AC8" s="15">
        <f t="shared" si="17"/>
        <v>5.5857673852471441</v>
      </c>
    </row>
    <row r="9" spans="2:29" ht="18.75" x14ac:dyDescent="0.25">
      <c r="B9" s="1">
        <v>250</v>
      </c>
      <c r="C9" s="1">
        <v>273</v>
      </c>
      <c r="D9" s="2">
        <f t="shared" si="0"/>
        <v>857.99998830000004</v>
      </c>
      <c r="E9" s="2">
        <v>825</v>
      </c>
      <c r="F9" s="2">
        <v>0</v>
      </c>
      <c r="G9" s="2">
        <v>5</v>
      </c>
      <c r="H9" s="2">
        <v>50</v>
      </c>
      <c r="I9" s="2">
        <v>16</v>
      </c>
      <c r="J9" s="2">
        <f t="shared" si="1"/>
        <v>2130</v>
      </c>
      <c r="K9" s="2">
        <f t="shared" si="2"/>
        <v>5147.9999298000002</v>
      </c>
      <c r="L9" s="2">
        <v>250</v>
      </c>
      <c r="M9" s="2">
        <f t="shared" si="3"/>
        <v>3431.9999532000002</v>
      </c>
      <c r="N9" s="2">
        <f t="shared" si="4"/>
        <v>792</v>
      </c>
      <c r="O9" s="2">
        <f t="shared" si="5"/>
        <v>7277.9999298000002</v>
      </c>
      <c r="P9" s="2">
        <f t="shared" si="6"/>
        <v>4223.9999532000002</v>
      </c>
      <c r="Q9" s="2">
        <f t="shared" si="7"/>
        <v>286.53543030708664</v>
      </c>
      <c r="R9" s="2">
        <f t="shared" si="7"/>
        <v>166.29921075590553</v>
      </c>
      <c r="S9" s="2">
        <f t="shared" si="8"/>
        <v>452.8346410629922</v>
      </c>
      <c r="T9" s="3">
        <f t="shared" si="9"/>
        <v>37.736220088582684</v>
      </c>
      <c r="V9" s="8">
        <f t="shared" si="10"/>
        <v>250</v>
      </c>
      <c r="W9" s="9">
        <f t="shared" si="11"/>
        <v>286.53543030708664</v>
      </c>
      <c r="X9" s="10">
        <f t="shared" si="12"/>
        <v>23.877952525590555</v>
      </c>
      <c r="Y9" s="9">
        <f t="shared" si="13"/>
        <v>166.29921075590553</v>
      </c>
      <c r="Z9" s="10">
        <f t="shared" si="14"/>
        <v>13.858267562992127</v>
      </c>
      <c r="AA9" s="9">
        <f t="shared" si="15"/>
        <v>452.8346410629922</v>
      </c>
      <c r="AB9" s="14">
        <f t="shared" si="16"/>
        <v>37.736220088582684</v>
      </c>
      <c r="AC9" s="15">
        <f t="shared" si="17"/>
        <v>6.9630798911984941</v>
      </c>
    </row>
    <row r="10" spans="2:29" ht="18.75" x14ac:dyDescent="0.25">
      <c r="B10" s="1">
        <v>300</v>
      </c>
      <c r="C10" s="1">
        <v>324</v>
      </c>
      <c r="D10" s="2">
        <f t="shared" si="0"/>
        <v>1018.2857004</v>
      </c>
      <c r="E10" s="2">
        <v>825</v>
      </c>
      <c r="F10" s="2">
        <v>0</v>
      </c>
      <c r="G10" s="2">
        <v>6</v>
      </c>
      <c r="H10" s="2">
        <v>50</v>
      </c>
      <c r="I10" s="2">
        <v>16</v>
      </c>
      <c r="J10" s="2">
        <f t="shared" si="1"/>
        <v>2130</v>
      </c>
      <c r="K10" s="2">
        <f t="shared" si="2"/>
        <v>6109.7142024000004</v>
      </c>
      <c r="L10" s="2">
        <v>250</v>
      </c>
      <c r="M10" s="2">
        <f t="shared" si="3"/>
        <v>4073.1428016</v>
      </c>
      <c r="N10" s="2">
        <f t="shared" si="4"/>
        <v>792</v>
      </c>
      <c r="O10" s="2">
        <f t="shared" si="5"/>
        <v>8239.7142024000004</v>
      </c>
      <c r="P10" s="2">
        <f t="shared" si="6"/>
        <v>4865.1428016</v>
      </c>
      <c r="Q10" s="2">
        <f t="shared" si="7"/>
        <v>324.39819694488193</v>
      </c>
      <c r="R10" s="2">
        <f t="shared" si="7"/>
        <v>191.54105518110237</v>
      </c>
      <c r="S10" s="2">
        <f t="shared" si="8"/>
        <v>515.93925212598424</v>
      </c>
      <c r="T10" s="3">
        <f t="shared" si="9"/>
        <v>42.994937677165353</v>
      </c>
      <c r="V10" s="8">
        <f t="shared" si="10"/>
        <v>300</v>
      </c>
      <c r="W10" s="9">
        <f t="shared" si="11"/>
        <v>324.39819694488193</v>
      </c>
      <c r="X10" s="10">
        <f t="shared" si="12"/>
        <v>27.033183078740162</v>
      </c>
      <c r="Y10" s="9">
        <f t="shared" si="13"/>
        <v>191.54105518110237</v>
      </c>
      <c r="Z10" s="10">
        <f t="shared" si="14"/>
        <v>15.961754598425197</v>
      </c>
      <c r="AA10" s="9">
        <f t="shared" si="15"/>
        <v>515.93925212598424</v>
      </c>
      <c r="AB10" s="14">
        <f t="shared" si="16"/>
        <v>42.99493767716536</v>
      </c>
      <c r="AC10" s="15">
        <f t="shared" si="17"/>
        <v>8.2638750357081037</v>
      </c>
    </row>
    <row r="11" spans="2:29" ht="18.75" x14ac:dyDescent="0.25">
      <c r="B11" s="1">
        <v>350</v>
      </c>
      <c r="C11" s="1">
        <v>356</v>
      </c>
      <c r="D11" s="2">
        <f t="shared" si="0"/>
        <v>1118.8571276</v>
      </c>
      <c r="E11" s="2">
        <v>825</v>
      </c>
      <c r="F11" s="2">
        <v>0</v>
      </c>
      <c r="G11" s="2">
        <v>6</v>
      </c>
      <c r="H11" s="2">
        <v>50</v>
      </c>
      <c r="I11" s="2">
        <v>16</v>
      </c>
      <c r="J11" s="2">
        <f t="shared" si="1"/>
        <v>2130</v>
      </c>
      <c r="K11" s="2">
        <f t="shared" si="2"/>
        <v>6713.1427655999996</v>
      </c>
      <c r="L11" s="2">
        <v>250</v>
      </c>
      <c r="M11" s="2">
        <f t="shared" si="3"/>
        <v>4475.4285104000001</v>
      </c>
      <c r="N11" s="2">
        <f t="shared" si="4"/>
        <v>792</v>
      </c>
      <c r="O11" s="2">
        <f t="shared" si="5"/>
        <v>8843.1427655999996</v>
      </c>
      <c r="P11" s="2">
        <f t="shared" si="6"/>
        <v>5267.4285104000001</v>
      </c>
      <c r="Q11" s="2">
        <f t="shared" si="7"/>
        <v>348.15522699212596</v>
      </c>
      <c r="R11" s="2">
        <f t="shared" si="7"/>
        <v>207.37907521259845</v>
      </c>
      <c r="S11" s="2">
        <f t="shared" si="8"/>
        <v>555.53430220472444</v>
      </c>
      <c r="T11" s="3">
        <f t="shared" si="9"/>
        <v>46.294525183727039</v>
      </c>
      <c r="V11" s="8">
        <f t="shared" si="10"/>
        <v>350</v>
      </c>
      <c r="W11" s="9">
        <f t="shared" si="11"/>
        <v>348.15522699212596</v>
      </c>
      <c r="X11" s="10">
        <f t="shared" si="12"/>
        <v>29.012935582677162</v>
      </c>
      <c r="Y11" s="9">
        <f t="shared" si="13"/>
        <v>207.37907521259845</v>
      </c>
      <c r="Z11" s="10">
        <f t="shared" si="14"/>
        <v>17.28158960104987</v>
      </c>
      <c r="AA11" s="9">
        <f t="shared" si="15"/>
        <v>555.53430220472444</v>
      </c>
      <c r="AB11" s="14">
        <f t="shared" si="16"/>
        <v>46.294525183727032</v>
      </c>
      <c r="AC11" s="15">
        <f t="shared" si="17"/>
        <v>9.0800602244200128</v>
      </c>
    </row>
    <row r="12" spans="2:29" ht="18.75" x14ac:dyDescent="0.25">
      <c r="B12" s="1">
        <v>400</v>
      </c>
      <c r="C12" s="1">
        <v>406</v>
      </c>
      <c r="D12" s="2">
        <f t="shared" si="0"/>
        <v>1275.9999826000001</v>
      </c>
      <c r="E12" s="2">
        <v>825</v>
      </c>
      <c r="F12" s="2">
        <v>0</v>
      </c>
      <c r="G12" s="2">
        <v>6</v>
      </c>
      <c r="H12" s="2">
        <v>75</v>
      </c>
      <c r="I12" s="2">
        <v>20</v>
      </c>
      <c r="J12" s="2">
        <f t="shared" si="1"/>
        <v>2130</v>
      </c>
      <c r="K12" s="2">
        <f t="shared" si="2"/>
        <v>7655.9998955999999</v>
      </c>
      <c r="L12" s="2">
        <v>250</v>
      </c>
      <c r="M12" s="2">
        <f>D12*4</f>
        <v>5103.9999304000003</v>
      </c>
      <c r="N12" s="2">
        <f t="shared" si="4"/>
        <v>1140</v>
      </c>
      <c r="O12" s="2">
        <f>SUM(J12:K12)</f>
        <v>9785.9998955999999</v>
      </c>
      <c r="P12" s="2">
        <f t="shared" si="6"/>
        <v>6243.9999304000003</v>
      </c>
      <c r="Q12" s="2">
        <f t="shared" si="7"/>
        <v>385.27558644094489</v>
      </c>
      <c r="R12" s="2">
        <f t="shared" si="7"/>
        <v>245.82676891338585</v>
      </c>
      <c r="S12" s="2">
        <f t="shared" si="8"/>
        <v>631.10235535433071</v>
      </c>
      <c r="T12" s="3">
        <f t="shared" si="9"/>
        <v>52.591862946194226</v>
      </c>
      <c r="V12" s="8">
        <f t="shared" si="10"/>
        <v>400</v>
      </c>
      <c r="W12" s="9">
        <f t="shared" si="11"/>
        <v>385.27558644094489</v>
      </c>
      <c r="X12" s="10">
        <f t="shared" si="12"/>
        <v>32.106298870078739</v>
      </c>
      <c r="Y12" s="9">
        <f t="shared" si="13"/>
        <v>245.82676891338585</v>
      </c>
      <c r="Z12" s="10">
        <f t="shared" si="14"/>
        <v>20.485564076115487</v>
      </c>
      <c r="AA12" s="9">
        <f t="shared" si="15"/>
        <v>631.10235535433071</v>
      </c>
      <c r="AB12" s="14">
        <f t="shared" si="16"/>
        <v>52.591862946194226</v>
      </c>
      <c r="AC12" s="15">
        <f t="shared" si="17"/>
        <v>10.355349581782376</v>
      </c>
    </row>
    <row r="13" spans="2:29" ht="18.75" x14ac:dyDescent="0.25">
      <c r="B13" s="1">
        <v>450</v>
      </c>
      <c r="C13" s="1">
        <v>456</v>
      </c>
      <c r="D13" s="2">
        <f t="shared" si="0"/>
        <v>1433.1428376000001</v>
      </c>
      <c r="E13" s="2">
        <v>825</v>
      </c>
      <c r="F13" s="2">
        <v>0</v>
      </c>
      <c r="G13" s="2">
        <v>6</v>
      </c>
      <c r="H13" s="2">
        <v>75</v>
      </c>
      <c r="I13" s="2">
        <v>20</v>
      </c>
      <c r="J13" s="2">
        <f t="shared" si="1"/>
        <v>2130</v>
      </c>
      <c r="K13" s="2">
        <f t="shared" si="2"/>
        <v>8598.8570256000003</v>
      </c>
      <c r="L13" s="2">
        <v>250</v>
      </c>
      <c r="M13" s="2">
        <f t="shared" si="3"/>
        <v>5732.5713504000005</v>
      </c>
      <c r="N13" s="2">
        <f t="shared" si="4"/>
        <v>1140</v>
      </c>
      <c r="O13" s="2">
        <f t="shared" si="5"/>
        <v>10728.8570256</v>
      </c>
      <c r="P13" s="2">
        <f t="shared" si="6"/>
        <v>6872.5713504000005</v>
      </c>
      <c r="Q13" s="2">
        <f t="shared" si="7"/>
        <v>422.39594588976382</v>
      </c>
      <c r="R13" s="2">
        <f t="shared" si="7"/>
        <v>270.57367521259846</v>
      </c>
      <c r="S13" s="2">
        <f t="shared" si="8"/>
        <v>692.96962110236223</v>
      </c>
      <c r="T13" s="3">
        <f t="shared" si="9"/>
        <v>57.74746842519685</v>
      </c>
      <c r="V13" s="8">
        <f t="shared" si="10"/>
        <v>450</v>
      </c>
      <c r="W13" s="9">
        <f t="shared" si="11"/>
        <v>422.39594588976382</v>
      </c>
      <c r="X13" s="10">
        <f t="shared" si="12"/>
        <v>35.199662157480319</v>
      </c>
      <c r="Y13" s="9">
        <f t="shared" si="13"/>
        <v>270.57367521259846</v>
      </c>
      <c r="Z13" s="10">
        <f t="shared" si="14"/>
        <v>22.547806267716538</v>
      </c>
      <c r="AA13" s="9">
        <f t="shared" si="15"/>
        <v>692.96962110236223</v>
      </c>
      <c r="AB13" s="14">
        <f t="shared" si="16"/>
        <v>57.747468425196857</v>
      </c>
      <c r="AC13" s="15">
        <f t="shared" si="17"/>
        <v>11.630638939144736</v>
      </c>
    </row>
    <row r="14" spans="2:29" ht="18.75" x14ac:dyDescent="0.25">
      <c r="B14" s="1">
        <v>500</v>
      </c>
      <c r="C14" s="1">
        <v>508</v>
      </c>
      <c r="D14" s="2">
        <f>(C14-G14)*3.1428571</f>
        <v>1577.7142642000001</v>
      </c>
      <c r="E14" s="2">
        <v>825</v>
      </c>
      <c r="F14" s="2">
        <v>200</v>
      </c>
      <c r="G14" s="2">
        <v>6</v>
      </c>
      <c r="H14" s="2">
        <v>75</v>
      </c>
      <c r="I14" s="2">
        <v>20</v>
      </c>
      <c r="J14" s="2">
        <f t="shared" si="1"/>
        <v>2130</v>
      </c>
      <c r="K14" s="2">
        <f t="shared" si="2"/>
        <v>9466.2855852000012</v>
      </c>
      <c r="L14" s="2">
        <v>300</v>
      </c>
      <c r="M14" s="2">
        <f t="shared" si="3"/>
        <v>6310.8570568000005</v>
      </c>
      <c r="N14" s="2">
        <f t="shared" si="4"/>
        <v>1140</v>
      </c>
      <c r="O14" s="2">
        <f t="shared" si="5"/>
        <v>11596.285585200001</v>
      </c>
      <c r="P14" s="2">
        <f t="shared" ref="P14:P41" si="18">SUM(L14:N14)</f>
        <v>7750.8570568000005</v>
      </c>
      <c r="Q14" s="2">
        <f t="shared" si="7"/>
        <v>456.54667658267726</v>
      </c>
      <c r="R14" s="2">
        <f t="shared" si="7"/>
        <v>305.15185262992128</v>
      </c>
      <c r="S14" s="2">
        <f t="shared" si="8"/>
        <v>761.69852921259849</v>
      </c>
      <c r="T14" s="3">
        <f t="shared" si="9"/>
        <v>63.47487743438321</v>
      </c>
      <c r="V14" s="8">
        <f t="shared" si="10"/>
        <v>500</v>
      </c>
      <c r="W14" s="9">
        <f t="shared" si="11"/>
        <v>456.54667658267726</v>
      </c>
      <c r="X14" s="10">
        <f t="shared" si="12"/>
        <v>38.045556381889774</v>
      </c>
      <c r="Y14" s="9">
        <f t="shared" si="13"/>
        <v>305.15185262992128</v>
      </c>
      <c r="Z14" s="10">
        <f t="shared" si="14"/>
        <v>25.429321052493439</v>
      </c>
      <c r="AA14" s="9">
        <f t="shared" si="15"/>
        <v>761.69852921259849</v>
      </c>
      <c r="AB14" s="14">
        <f t="shared" si="16"/>
        <v>63.474877434383217</v>
      </c>
      <c r="AC14" s="15">
        <f t="shared" si="17"/>
        <v>15.364686177501733</v>
      </c>
    </row>
    <row r="15" spans="2:29" ht="18.75" x14ac:dyDescent="0.25">
      <c r="B15" s="1">
        <v>600</v>
      </c>
      <c r="C15" s="1">
        <v>610</v>
      </c>
      <c r="D15" s="2">
        <f t="shared" ref="D15:D41" si="19">(C15-G15)*3.1428571</f>
        <v>1898.2856884</v>
      </c>
      <c r="E15" s="2">
        <v>825</v>
      </c>
      <c r="F15" s="2">
        <v>200</v>
      </c>
      <c r="G15" s="2">
        <v>6</v>
      </c>
      <c r="H15" s="2">
        <v>75</v>
      </c>
      <c r="I15" s="2">
        <v>20</v>
      </c>
      <c r="J15" s="2">
        <f t="shared" si="1"/>
        <v>2130</v>
      </c>
      <c r="K15" s="2">
        <f t="shared" si="2"/>
        <v>11389.7141304</v>
      </c>
      <c r="L15" s="2">
        <v>300</v>
      </c>
      <c r="M15" s="2">
        <f t="shared" si="3"/>
        <v>7593.1427536000001</v>
      </c>
      <c r="N15" s="2">
        <f t="shared" si="4"/>
        <v>1140</v>
      </c>
      <c r="O15" s="2">
        <f t="shared" si="5"/>
        <v>13519.7141304</v>
      </c>
      <c r="P15" s="2">
        <f t="shared" si="18"/>
        <v>9033.142753600001</v>
      </c>
      <c r="Q15" s="2">
        <f t="shared" si="7"/>
        <v>532.27220985826773</v>
      </c>
      <c r="R15" s="2">
        <f t="shared" si="7"/>
        <v>355.635541480315</v>
      </c>
      <c r="S15" s="2">
        <f t="shared" si="8"/>
        <v>887.90775133858278</v>
      </c>
      <c r="T15" s="3">
        <f t="shared" si="9"/>
        <v>73.99231261154857</v>
      </c>
      <c r="V15" s="8">
        <f t="shared" si="10"/>
        <v>600</v>
      </c>
      <c r="W15" s="9">
        <f t="shared" si="11"/>
        <v>532.27220985826773</v>
      </c>
      <c r="X15" s="10">
        <f t="shared" si="12"/>
        <v>44.356017488188975</v>
      </c>
      <c r="Y15" s="9">
        <f t="shared" si="13"/>
        <v>355.635541480315</v>
      </c>
      <c r="Z15" s="10">
        <f t="shared" si="14"/>
        <v>29.636295123359584</v>
      </c>
      <c r="AA15" s="9">
        <f t="shared" si="15"/>
        <v>887.90775133858278</v>
      </c>
      <c r="AB15" s="14">
        <f t="shared" si="16"/>
        <v>73.992312611548556</v>
      </c>
      <c r="AC15" s="15">
        <f t="shared" si="17"/>
        <v>18.486594524324794</v>
      </c>
    </row>
    <row r="16" spans="2:29" ht="18.75" x14ac:dyDescent="0.25">
      <c r="B16" s="1">
        <v>700</v>
      </c>
      <c r="C16" s="1">
        <v>711</v>
      </c>
      <c r="D16" s="2">
        <f t="shared" si="19"/>
        <v>2209.4285413000002</v>
      </c>
      <c r="E16" s="2">
        <v>825</v>
      </c>
      <c r="F16" s="2">
        <v>200</v>
      </c>
      <c r="G16" s="2">
        <v>8</v>
      </c>
      <c r="H16" s="2">
        <v>100</v>
      </c>
      <c r="I16" s="2">
        <v>25</v>
      </c>
      <c r="J16" s="2">
        <f t="shared" si="1"/>
        <v>2130</v>
      </c>
      <c r="K16" s="2">
        <f t="shared" si="2"/>
        <v>13256.571247800002</v>
      </c>
      <c r="L16" s="2">
        <v>300</v>
      </c>
      <c r="M16" s="2">
        <f t="shared" si="3"/>
        <v>8837.7141652000009</v>
      </c>
      <c r="N16" s="2">
        <f t="shared" si="4"/>
        <v>1500</v>
      </c>
      <c r="O16" s="2">
        <f t="shared" si="5"/>
        <v>15386.571247800002</v>
      </c>
      <c r="P16" s="2">
        <f t="shared" si="18"/>
        <v>10637.714165200001</v>
      </c>
      <c r="Q16" s="2">
        <f t="shared" si="7"/>
        <v>605.77052156692923</v>
      </c>
      <c r="R16" s="2">
        <f t="shared" si="7"/>
        <v>418.80764429921265</v>
      </c>
      <c r="S16" s="2">
        <f t="shared" si="8"/>
        <v>1024.5781658661419</v>
      </c>
      <c r="T16" s="3">
        <f t="shared" si="9"/>
        <v>85.381513822178491</v>
      </c>
      <c r="V16" s="8">
        <f t="shared" si="10"/>
        <v>700</v>
      </c>
      <c r="W16" s="9">
        <f t="shared" si="11"/>
        <v>605.77052156692923</v>
      </c>
      <c r="X16" s="10">
        <f t="shared" si="12"/>
        <v>50.4808767972441</v>
      </c>
      <c r="Y16" s="9">
        <f t="shared" si="13"/>
        <v>418.80764429921265</v>
      </c>
      <c r="Z16" s="10">
        <f t="shared" si="14"/>
        <v>34.90063702493439</v>
      </c>
      <c r="AA16" s="9">
        <f t="shared" si="15"/>
        <v>1024.5781658661419</v>
      </c>
      <c r="AB16" s="14">
        <f t="shared" si="16"/>
        <v>85.381513822178491</v>
      </c>
      <c r="AC16" s="15">
        <f t="shared" si="17"/>
        <v>21.516682037417766</v>
      </c>
    </row>
    <row r="17" spans="1:29" ht="18.75" x14ac:dyDescent="0.25">
      <c r="B17" s="1">
        <v>750</v>
      </c>
      <c r="C17" s="1">
        <v>762</v>
      </c>
      <c r="D17" s="2">
        <f t="shared" si="19"/>
        <v>2369.7142534</v>
      </c>
      <c r="E17" s="2">
        <v>825</v>
      </c>
      <c r="F17" s="2">
        <v>200</v>
      </c>
      <c r="G17" s="2">
        <v>8</v>
      </c>
      <c r="H17" s="2">
        <v>100</v>
      </c>
      <c r="I17" s="2">
        <v>25</v>
      </c>
      <c r="J17" s="2">
        <f t="shared" si="1"/>
        <v>2130</v>
      </c>
      <c r="K17" s="2">
        <f t="shared" si="2"/>
        <v>14218.285520400001</v>
      </c>
      <c r="L17" s="2">
        <v>300</v>
      </c>
      <c r="M17" s="2">
        <f t="shared" si="3"/>
        <v>9478.8570135999998</v>
      </c>
      <c r="N17" s="2">
        <f t="shared" si="4"/>
        <v>1500</v>
      </c>
      <c r="O17" s="2">
        <f t="shared" si="5"/>
        <v>16348.285520400001</v>
      </c>
      <c r="P17" s="2">
        <f t="shared" si="18"/>
        <v>11278.8570136</v>
      </c>
      <c r="Q17" s="2">
        <f t="shared" si="7"/>
        <v>643.63328820472452</v>
      </c>
      <c r="R17" s="2">
        <f t="shared" si="7"/>
        <v>444.04948872440946</v>
      </c>
      <c r="S17" s="2">
        <f t="shared" si="8"/>
        <v>1087.682776929134</v>
      </c>
      <c r="T17" s="3">
        <f t="shared" si="9"/>
        <v>90.64023141076116</v>
      </c>
      <c r="V17" s="8">
        <f t="shared" si="10"/>
        <v>750</v>
      </c>
      <c r="W17" s="9">
        <f t="shared" si="11"/>
        <v>643.63328820472452</v>
      </c>
      <c r="X17" s="10">
        <f t="shared" si="12"/>
        <v>53.636107350393708</v>
      </c>
      <c r="Y17" s="9">
        <f t="shared" si="13"/>
        <v>444.04948872440946</v>
      </c>
      <c r="Z17" s="10">
        <f t="shared" si="14"/>
        <v>37.004124060367452</v>
      </c>
      <c r="AA17" s="9">
        <f t="shared" si="15"/>
        <v>1087.682776929134</v>
      </c>
      <c r="AB17" s="14">
        <f t="shared" si="16"/>
        <v>90.64023141076116</v>
      </c>
      <c r="AC17" s="15">
        <f t="shared" si="17"/>
        <v>23.077636210829297</v>
      </c>
    </row>
    <row r="18" spans="1:29" ht="18.75" x14ac:dyDescent="0.25">
      <c r="B18" s="1">
        <v>800</v>
      </c>
      <c r="C18" s="1">
        <v>813</v>
      </c>
      <c r="D18" s="2">
        <f t="shared" si="19"/>
        <v>2529.9999655000001</v>
      </c>
      <c r="E18" s="2">
        <v>825</v>
      </c>
      <c r="F18" s="2">
        <v>200</v>
      </c>
      <c r="G18" s="2">
        <v>8</v>
      </c>
      <c r="H18" s="2">
        <v>100</v>
      </c>
      <c r="I18" s="2">
        <v>25</v>
      </c>
      <c r="J18" s="2">
        <f t="shared" si="1"/>
        <v>2130</v>
      </c>
      <c r="K18" s="2">
        <f t="shared" si="2"/>
        <v>15179.999793000001</v>
      </c>
      <c r="L18" s="2">
        <v>300</v>
      </c>
      <c r="M18" s="2">
        <f t="shared" si="3"/>
        <v>10119.999862000001</v>
      </c>
      <c r="N18" s="2">
        <f t="shared" si="4"/>
        <v>1500</v>
      </c>
      <c r="O18" s="2">
        <f t="shared" si="5"/>
        <v>17309.999793000003</v>
      </c>
      <c r="P18" s="2">
        <f t="shared" si="18"/>
        <v>11919.999862000001</v>
      </c>
      <c r="Q18" s="2">
        <f t="shared" si="7"/>
        <v>681.49605484251981</v>
      </c>
      <c r="R18" s="2">
        <f t="shared" si="7"/>
        <v>469.29133314960637</v>
      </c>
      <c r="S18" s="2">
        <f t="shared" si="8"/>
        <v>1150.7873879921262</v>
      </c>
      <c r="T18" s="3">
        <f t="shared" si="9"/>
        <v>95.898948999343858</v>
      </c>
      <c r="V18" s="8">
        <f t="shared" si="10"/>
        <v>800</v>
      </c>
      <c r="W18" s="9">
        <f t="shared" si="11"/>
        <v>681.49605484251981</v>
      </c>
      <c r="X18" s="10">
        <f t="shared" si="12"/>
        <v>56.791337903543315</v>
      </c>
      <c r="Y18" s="9">
        <f t="shared" si="13"/>
        <v>469.29133314960637</v>
      </c>
      <c r="Z18" s="10">
        <f t="shared" si="14"/>
        <v>39.107611095800529</v>
      </c>
      <c r="AA18" s="9">
        <f t="shared" si="15"/>
        <v>1150.7873879921262</v>
      </c>
      <c r="AB18" s="14">
        <f t="shared" si="16"/>
        <v>95.898948999343844</v>
      </c>
      <c r="AC18" s="15">
        <f t="shared" si="17"/>
        <v>24.638590384240825</v>
      </c>
    </row>
    <row r="19" spans="1:29" ht="18.75" x14ac:dyDescent="0.25">
      <c r="B19" s="1">
        <v>900</v>
      </c>
      <c r="C19" s="1">
        <v>914</v>
      </c>
      <c r="D19" s="2">
        <f t="shared" si="19"/>
        <v>2847.4285325999999</v>
      </c>
      <c r="E19" s="2">
        <v>825</v>
      </c>
      <c r="F19" s="2">
        <v>200</v>
      </c>
      <c r="G19" s="2">
        <v>8</v>
      </c>
      <c r="H19" s="2">
        <v>100</v>
      </c>
      <c r="I19" s="2">
        <v>25</v>
      </c>
      <c r="J19" s="2">
        <f t="shared" si="1"/>
        <v>2130</v>
      </c>
      <c r="K19" s="2">
        <f t="shared" si="2"/>
        <v>17084.571195600001</v>
      </c>
      <c r="L19" s="2">
        <v>300</v>
      </c>
      <c r="M19" s="2">
        <f t="shared" si="3"/>
        <v>11389.7141304</v>
      </c>
      <c r="N19" s="2">
        <f t="shared" si="4"/>
        <v>1500</v>
      </c>
      <c r="O19" s="2">
        <f t="shared" si="5"/>
        <v>19214.571195600001</v>
      </c>
      <c r="P19" s="2">
        <f t="shared" si="18"/>
        <v>13189.7141304</v>
      </c>
      <c r="Q19" s="2">
        <f t="shared" si="7"/>
        <v>756.47918092913392</v>
      </c>
      <c r="R19" s="2">
        <f t="shared" si="7"/>
        <v>519.28008387401576</v>
      </c>
      <c r="S19" s="2">
        <f t="shared" si="8"/>
        <v>1275.7592648031496</v>
      </c>
      <c r="T19" s="3">
        <f t="shared" si="9"/>
        <v>106.31327206692913</v>
      </c>
      <c r="V19" s="8">
        <f t="shared" si="10"/>
        <v>900</v>
      </c>
      <c r="W19" s="9">
        <f t="shared" si="11"/>
        <v>756.47918092913392</v>
      </c>
      <c r="X19" s="10">
        <f t="shared" si="12"/>
        <v>63.039931744094496</v>
      </c>
      <c r="Y19" s="9">
        <f t="shared" si="13"/>
        <v>519.28008387401576</v>
      </c>
      <c r="Z19" s="10">
        <f t="shared" si="14"/>
        <v>43.273340322834649</v>
      </c>
      <c r="AA19" s="9">
        <f t="shared" si="15"/>
        <v>1275.7592648031496</v>
      </c>
      <c r="AB19" s="14">
        <f t="shared" si="16"/>
        <v>106.31327206692914</v>
      </c>
      <c r="AC19" s="15">
        <f t="shared" si="17"/>
        <v>27.72989178648719</v>
      </c>
    </row>
    <row r="20" spans="1:29" ht="18.75" x14ac:dyDescent="0.25">
      <c r="B20" s="1">
        <v>1000</v>
      </c>
      <c r="C20" s="1">
        <v>1016</v>
      </c>
      <c r="D20" s="2">
        <f t="shared" si="19"/>
        <v>3167.9999568000003</v>
      </c>
      <c r="E20" s="2">
        <v>825</v>
      </c>
      <c r="F20" s="2">
        <v>200</v>
      </c>
      <c r="G20" s="2">
        <v>8</v>
      </c>
      <c r="H20" s="2">
        <v>100</v>
      </c>
      <c r="I20" s="2">
        <v>30</v>
      </c>
      <c r="J20" s="2">
        <f t="shared" si="1"/>
        <v>2130</v>
      </c>
      <c r="K20" s="2">
        <f t="shared" si="2"/>
        <v>19007.999740800002</v>
      </c>
      <c r="L20" s="2">
        <v>300</v>
      </c>
      <c r="M20" s="2">
        <f t="shared" si="3"/>
        <v>12671.999827200001</v>
      </c>
      <c r="N20" s="2">
        <f t="shared" si="4"/>
        <v>1560</v>
      </c>
      <c r="O20" s="2">
        <f t="shared" si="5"/>
        <v>21137.999740800002</v>
      </c>
      <c r="P20" s="2">
        <f t="shared" si="18"/>
        <v>14531.999827200001</v>
      </c>
      <c r="Q20" s="2">
        <f t="shared" si="7"/>
        <v>832.2047142047245</v>
      </c>
      <c r="R20" s="2">
        <f>P20/25.4</f>
        <v>572.12597744881896</v>
      </c>
      <c r="S20" s="2">
        <f t="shared" si="8"/>
        <v>1404.3306916535435</v>
      </c>
      <c r="T20" s="3">
        <f t="shared" si="9"/>
        <v>117.02755763779528</v>
      </c>
      <c r="V20" s="8">
        <f t="shared" si="10"/>
        <v>1000</v>
      </c>
      <c r="W20" s="9">
        <f t="shared" si="11"/>
        <v>832.2047142047245</v>
      </c>
      <c r="X20" s="10">
        <f t="shared" si="12"/>
        <v>69.350392850393703</v>
      </c>
      <c r="Y20" s="9">
        <f>R20</f>
        <v>572.12597744881896</v>
      </c>
      <c r="Z20" s="10">
        <f t="shared" si="14"/>
        <v>47.67716478740158</v>
      </c>
      <c r="AA20" s="9">
        <f t="shared" si="15"/>
        <v>1404.3306916535435</v>
      </c>
      <c r="AB20" s="14">
        <f t="shared" si="16"/>
        <v>117.02755763779528</v>
      </c>
      <c r="AC20" s="15">
        <f t="shared" si="17"/>
        <v>30.851800133310249</v>
      </c>
    </row>
    <row r="21" spans="1:29" ht="18.75" x14ac:dyDescent="0.25">
      <c r="B21" s="1">
        <v>1100</v>
      </c>
      <c r="C21" s="1">
        <v>1118</v>
      </c>
      <c r="D21" s="2">
        <f t="shared" si="19"/>
        <v>3482.2856667999999</v>
      </c>
      <c r="E21" s="2">
        <v>825</v>
      </c>
      <c r="F21" s="2">
        <v>225</v>
      </c>
      <c r="G21" s="2">
        <v>10</v>
      </c>
      <c r="H21" s="2">
        <v>100</v>
      </c>
      <c r="I21" s="2">
        <v>30</v>
      </c>
      <c r="J21" s="2">
        <f t="shared" si="1"/>
        <v>2130</v>
      </c>
      <c r="K21" s="2">
        <f t="shared" si="2"/>
        <v>20893.714000799999</v>
      </c>
      <c r="L21" s="2">
        <v>300</v>
      </c>
      <c r="M21" s="2">
        <f t="shared" si="3"/>
        <v>13929.1426672</v>
      </c>
      <c r="N21" s="2">
        <f t="shared" si="4"/>
        <v>1560</v>
      </c>
      <c r="O21" s="2">
        <f t="shared" si="5"/>
        <v>23023.714000799999</v>
      </c>
      <c r="P21" s="2">
        <f t="shared" si="18"/>
        <v>15789.1426672</v>
      </c>
      <c r="Q21" s="2">
        <f t="shared" si="7"/>
        <v>906.44543310236224</v>
      </c>
      <c r="R21" s="2">
        <f t="shared" si="7"/>
        <v>621.61979004724412</v>
      </c>
      <c r="S21" s="2">
        <f t="shared" si="8"/>
        <v>1528.0652231496065</v>
      </c>
      <c r="T21" s="3">
        <f t="shared" si="9"/>
        <v>127.33876859580054</v>
      </c>
      <c r="V21" s="8">
        <f t="shared" si="10"/>
        <v>1100</v>
      </c>
      <c r="W21" s="9">
        <f t="shared" si="11"/>
        <v>906.44543310236224</v>
      </c>
      <c r="X21" s="10">
        <f t="shared" si="12"/>
        <v>75.537119425196849</v>
      </c>
      <c r="Y21" s="9">
        <f t="shared" si="13"/>
        <v>621.61979004724412</v>
      </c>
      <c r="Z21" s="10">
        <f t="shared" si="14"/>
        <v>51.801649170603675</v>
      </c>
      <c r="AA21" s="9">
        <f t="shared" si="15"/>
        <v>1528.0652231496065</v>
      </c>
      <c r="AB21" s="14">
        <f t="shared" si="16"/>
        <v>127.33876859580053</v>
      </c>
      <c r="AC21" s="15">
        <f t="shared" si="17"/>
        <v>33.912494590979911</v>
      </c>
    </row>
    <row r="22" spans="1:29" ht="18.75" x14ac:dyDescent="0.25">
      <c r="B22" s="1">
        <v>1200</v>
      </c>
      <c r="C22" s="1">
        <v>1219</v>
      </c>
      <c r="D22" s="2">
        <f t="shared" si="19"/>
        <v>3799.7142339000002</v>
      </c>
      <c r="E22" s="2">
        <v>825</v>
      </c>
      <c r="F22" s="2">
        <v>225</v>
      </c>
      <c r="G22" s="2">
        <v>10</v>
      </c>
      <c r="H22" s="2">
        <v>100</v>
      </c>
      <c r="I22" s="2">
        <v>30</v>
      </c>
      <c r="J22" s="2">
        <f t="shared" si="1"/>
        <v>2130</v>
      </c>
      <c r="K22" s="2">
        <f t="shared" si="2"/>
        <v>22798.285403400001</v>
      </c>
      <c r="L22" s="2">
        <v>300</v>
      </c>
      <c r="M22" s="2">
        <f t="shared" si="3"/>
        <v>15198.856935600001</v>
      </c>
      <c r="N22" s="2">
        <f t="shared" si="4"/>
        <v>1560</v>
      </c>
      <c r="O22" s="2">
        <f t="shared" si="5"/>
        <v>24928.285403400001</v>
      </c>
      <c r="P22" s="2">
        <f t="shared" si="18"/>
        <v>17058.856935600001</v>
      </c>
      <c r="Q22" s="2">
        <f t="shared" si="7"/>
        <v>981.42855918897646</v>
      </c>
      <c r="R22" s="2">
        <f t="shared" si="7"/>
        <v>671.60854077165357</v>
      </c>
      <c r="S22" s="2">
        <f t="shared" si="8"/>
        <v>1653.03709996063</v>
      </c>
      <c r="T22" s="3">
        <f t="shared" si="9"/>
        <v>137.75309166338585</v>
      </c>
      <c r="V22" s="8">
        <f t="shared" si="10"/>
        <v>1200</v>
      </c>
      <c r="W22" s="9">
        <f t="shared" si="11"/>
        <v>981.42855918897646</v>
      </c>
      <c r="X22" s="10">
        <f t="shared" si="12"/>
        <v>81.785713265748043</v>
      </c>
      <c r="Y22" s="9">
        <f t="shared" si="13"/>
        <v>671.60854077165357</v>
      </c>
      <c r="Z22" s="10">
        <f t="shared" si="14"/>
        <v>55.967378397637795</v>
      </c>
      <c r="AA22" s="9">
        <f t="shared" si="15"/>
        <v>1653.03709996063</v>
      </c>
      <c r="AB22" s="14">
        <f t="shared" si="16"/>
        <v>137.75309166338585</v>
      </c>
      <c r="AC22" s="15">
        <f t="shared" si="17"/>
        <v>37.003795993226284</v>
      </c>
    </row>
    <row r="23" spans="1:29" ht="18.75" x14ac:dyDescent="0.25">
      <c r="B23" s="1">
        <v>1300</v>
      </c>
      <c r="C23" s="1">
        <v>1320</v>
      </c>
      <c r="D23" s="2">
        <f t="shared" si="19"/>
        <v>4117.142801</v>
      </c>
      <c r="E23" s="2">
        <v>825</v>
      </c>
      <c r="F23" s="2">
        <v>225</v>
      </c>
      <c r="G23" s="2">
        <v>10</v>
      </c>
      <c r="H23" s="2">
        <v>100</v>
      </c>
      <c r="I23" s="2">
        <v>30</v>
      </c>
      <c r="J23" s="2">
        <f t="shared" si="1"/>
        <v>2130</v>
      </c>
      <c r="K23" s="2">
        <f t="shared" si="2"/>
        <v>24702.856806</v>
      </c>
      <c r="L23" s="2">
        <v>300</v>
      </c>
      <c r="M23" s="2">
        <f t="shared" si="3"/>
        <v>16468.571204</v>
      </c>
      <c r="N23" s="2">
        <f t="shared" si="4"/>
        <v>1560</v>
      </c>
      <c r="O23" s="2">
        <f t="shared" si="5"/>
        <v>26832.856806</v>
      </c>
      <c r="P23" s="2">
        <f t="shared" si="18"/>
        <v>18328.571204</v>
      </c>
      <c r="Q23" s="2">
        <f t="shared" si="7"/>
        <v>1056.4116852755906</v>
      </c>
      <c r="R23" s="2">
        <f t="shared" si="7"/>
        <v>721.59729149606301</v>
      </c>
      <c r="S23" s="2">
        <f t="shared" si="8"/>
        <v>1778.0089767716536</v>
      </c>
      <c r="T23" s="3">
        <f t="shared" si="9"/>
        <v>148.16741473097113</v>
      </c>
      <c r="V23" s="8">
        <f t="shared" si="10"/>
        <v>1300</v>
      </c>
      <c r="W23" s="9">
        <f t="shared" si="11"/>
        <v>1056.4116852755906</v>
      </c>
      <c r="X23" s="10">
        <f t="shared" si="12"/>
        <v>88.03430710629921</v>
      </c>
      <c r="Y23" s="9">
        <f t="shared" si="13"/>
        <v>721.59729149606301</v>
      </c>
      <c r="Z23" s="10">
        <f t="shared" si="14"/>
        <v>60.133107624671915</v>
      </c>
      <c r="AA23" s="9">
        <f t="shared" si="15"/>
        <v>1778.0089767716536</v>
      </c>
      <c r="AB23" s="14">
        <f t="shared" si="16"/>
        <v>148.16741473097113</v>
      </c>
      <c r="AC23" s="15">
        <f t="shared" si="17"/>
        <v>40.095097395472642</v>
      </c>
    </row>
    <row r="24" spans="1:29" ht="18.75" x14ac:dyDescent="0.25">
      <c r="B24" s="1">
        <v>1400</v>
      </c>
      <c r="C24" s="1">
        <v>1420</v>
      </c>
      <c r="D24" s="2">
        <f t="shared" si="19"/>
        <v>4431.4285110000001</v>
      </c>
      <c r="E24" s="2">
        <v>825</v>
      </c>
      <c r="F24" s="2">
        <v>225</v>
      </c>
      <c r="G24" s="2">
        <v>10</v>
      </c>
      <c r="H24" s="2">
        <v>100</v>
      </c>
      <c r="I24" s="2">
        <v>30</v>
      </c>
      <c r="J24" s="2">
        <f>(E24+40+200)*2</f>
        <v>2130</v>
      </c>
      <c r="K24" s="2">
        <f>D24*6</f>
        <v>26588.571066</v>
      </c>
      <c r="L24" s="2">
        <v>300</v>
      </c>
      <c r="M24" s="2">
        <f t="shared" si="3"/>
        <v>17725.714044</v>
      </c>
      <c r="N24" s="2">
        <f t="shared" si="4"/>
        <v>1560</v>
      </c>
      <c r="O24" s="2">
        <f t="shared" si="5"/>
        <v>28718.571066</v>
      </c>
      <c r="P24" s="2">
        <f t="shared" si="18"/>
        <v>19585.714044</v>
      </c>
      <c r="Q24" s="2">
        <f t="shared" si="7"/>
        <v>1130.6524041732284</v>
      </c>
      <c r="R24" s="2">
        <f t="shared" si="7"/>
        <v>771.09110409448829</v>
      </c>
      <c r="S24" s="2">
        <f t="shared" si="8"/>
        <v>1901.7435082677166</v>
      </c>
      <c r="T24" s="3">
        <f t="shared" si="9"/>
        <v>158.47862568897639</v>
      </c>
      <c r="V24" s="8">
        <f t="shared" si="10"/>
        <v>1400</v>
      </c>
      <c r="W24" s="9">
        <f t="shared" si="11"/>
        <v>1130.6524041732284</v>
      </c>
      <c r="X24" s="10">
        <f t="shared" si="12"/>
        <v>94.221033681102369</v>
      </c>
      <c r="Y24" s="9">
        <f t="shared" si="13"/>
        <v>771.09110409448829</v>
      </c>
      <c r="Z24" s="10">
        <f t="shared" si="14"/>
        <v>64.257592007874024</v>
      </c>
      <c r="AA24" s="9">
        <f t="shared" si="15"/>
        <v>1901.7435082677166</v>
      </c>
      <c r="AB24" s="14">
        <f t="shared" si="16"/>
        <v>158.47862568897639</v>
      </c>
      <c r="AC24" s="15">
        <f t="shared" si="17"/>
        <v>43.155791853142311</v>
      </c>
    </row>
    <row r="25" spans="1:29" ht="18.75" x14ac:dyDescent="0.25">
      <c r="B25" s="1">
        <v>1500</v>
      </c>
      <c r="C25" s="1">
        <v>1524</v>
      </c>
      <c r="D25" s="2">
        <f t="shared" si="19"/>
        <v>4758.2856493999998</v>
      </c>
      <c r="E25" s="2">
        <v>1200</v>
      </c>
      <c r="F25" s="2">
        <v>225</v>
      </c>
      <c r="G25" s="2">
        <v>10</v>
      </c>
      <c r="H25" s="2">
        <v>100</v>
      </c>
      <c r="I25" s="2">
        <v>30</v>
      </c>
      <c r="J25" s="2">
        <f t="shared" ref="J25" si="20">(E25+40+200)*2</f>
        <v>2880</v>
      </c>
      <c r="K25" s="2">
        <f t="shared" ref="K25" si="21">D25*6</f>
        <v>28549.713896399997</v>
      </c>
      <c r="L25" s="2">
        <v>300</v>
      </c>
      <c r="M25" s="2">
        <f t="shared" si="3"/>
        <v>19033.142597599999</v>
      </c>
      <c r="N25" s="2">
        <f t="shared" si="4"/>
        <v>1560</v>
      </c>
      <c r="O25" s="2">
        <f t="shared" si="5"/>
        <v>31429.713896399997</v>
      </c>
      <c r="P25" s="2">
        <f t="shared" si="18"/>
        <v>20893.142597599999</v>
      </c>
      <c r="Q25" s="2">
        <f t="shared" si="7"/>
        <v>1237.3903108818897</v>
      </c>
      <c r="R25" s="2">
        <f t="shared" si="7"/>
        <v>822.56466919685045</v>
      </c>
      <c r="S25" s="2">
        <f t="shared" si="8"/>
        <v>2059.9549800787399</v>
      </c>
      <c r="T25" s="3">
        <f>S25/12</f>
        <v>171.66291500656166</v>
      </c>
      <c r="V25" s="8">
        <f t="shared" si="10"/>
        <v>1500</v>
      </c>
      <c r="W25" s="9">
        <f t="shared" si="11"/>
        <v>1237.3903108818897</v>
      </c>
      <c r="X25" s="10">
        <f t="shared" si="12"/>
        <v>103.11585924015748</v>
      </c>
      <c r="Y25" s="9">
        <f t="shared" si="13"/>
        <v>822.56466919685045</v>
      </c>
      <c r="Z25" s="10">
        <f t="shared" si="14"/>
        <v>68.547055766404199</v>
      </c>
      <c r="AA25" s="9">
        <f t="shared" si="15"/>
        <v>2059.9549800787399</v>
      </c>
      <c r="AB25" s="14">
        <f t="shared" si="16"/>
        <v>171.66291500656166</v>
      </c>
      <c r="AC25" s="15">
        <f t="shared" si="17"/>
        <v>46.338914089118759</v>
      </c>
    </row>
    <row r="26" spans="1:29" ht="18.75" x14ac:dyDescent="0.25">
      <c r="D26" s="2">
        <f t="shared" si="19"/>
        <v>0</v>
      </c>
      <c r="AC26" s="15">
        <f t="shared" si="17"/>
        <v>0</v>
      </c>
    </row>
    <row r="27" spans="1:29" ht="18.75" x14ac:dyDescent="0.25">
      <c r="A27" t="s">
        <v>31</v>
      </c>
      <c r="B27" s="11">
        <v>1600</v>
      </c>
      <c r="C27" s="1">
        <v>1624</v>
      </c>
      <c r="D27" s="2">
        <f t="shared" si="19"/>
        <v>5066.2856452000005</v>
      </c>
      <c r="E27" s="2">
        <v>1625</v>
      </c>
      <c r="F27" s="2">
        <v>225</v>
      </c>
      <c r="G27" s="2">
        <v>12</v>
      </c>
      <c r="H27" s="2">
        <v>125</v>
      </c>
      <c r="I27" s="2">
        <v>36</v>
      </c>
      <c r="J27" s="2">
        <f t="shared" ref="J27" si="22">(E27+40+200)*2</f>
        <v>3730</v>
      </c>
      <c r="K27" s="2">
        <f t="shared" ref="K27" si="23">D27*6</f>
        <v>30397.713871200001</v>
      </c>
      <c r="L27" s="2">
        <v>350</v>
      </c>
      <c r="M27" s="2">
        <f t="shared" ref="M27:M40" si="24">D27*4</f>
        <v>20265.142580800002</v>
      </c>
      <c r="N27" s="2">
        <f>(H27+I27)*2*8</f>
        <v>2576</v>
      </c>
      <c r="O27" s="2">
        <f t="shared" ref="O27:O41" si="25">SUM(J27:K27)</f>
        <v>34127.713871200001</v>
      </c>
      <c r="P27" s="2">
        <f t="shared" si="18"/>
        <v>23191.142580800002</v>
      </c>
      <c r="Q27" s="2">
        <f t="shared" ref="Q27:R41" si="26">O27/25.4</f>
        <v>1343.6107823307088</v>
      </c>
      <c r="R27" s="2">
        <f t="shared" si="26"/>
        <v>913.03710948031505</v>
      </c>
      <c r="S27" s="2">
        <f t="shared" ref="S27:S41" si="27">SUM(Q27:R27)</f>
        <v>2256.6478918110238</v>
      </c>
      <c r="T27" s="3">
        <f t="shared" ref="T27:T41" si="28">S27/12</f>
        <v>188.05399098425198</v>
      </c>
      <c r="V27" s="8">
        <f t="shared" ref="V27:V41" si="29">B27</f>
        <v>1600</v>
      </c>
      <c r="W27" s="9">
        <f t="shared" ref="W27:W41" si="30">Q27</f>
        <v>1343.6107823307088</v>
      </c>
      <c r="X27" s="10">
        <f t="shared" ref="X27:X41" si="31">W27/12</f>
        <v>111.96756519422574</v>
      </c>
      <c r="Y27" s="9">
        <f t="shared" ref="Y27:Y41" si="32">R27</f>
        <v>913.03710948031505</v>
      </c>
      <c r="Z27" s="10">
        <f t="shared" ref="Z27:Z41" si="33">Y27/12</f>
        <v>76.086425790026254</v>
      </c>
      <c r="AA27" s="9">
        <f t="shared" ref="AA27:AA41" si="34">Y27+W27</f>
        <v>2256.6478918110238</v>
      </c>
      <c r="AB27" s="14">
        <f t="shared" ref="AB27:AB41" si="35">X27+Z27</f>
        <v>188.05399098425198</v>
      </c>
      <c r="AC27" s="15">
        <f t="shared" si="17"/>
        <v>57.561460433907548</v>
      </c>
    </row>
    <row r="28" spans="1:29" ht="18.75" x14ac:dyDescent="0.25">
      <c r="B28" s="11">
        <v>1700</v>
      </c>
      <c r="C28" s="1">
        <v>1724</v>
      </c>
      <c r="D28" s="2">
        <f t="shared" si="19"/>
        <v>5380.5713551999997</v>
      </c>
      <c r="E28" s="2">
        <v>1625</v>
      </c>
      <c r="F28" s="2">
        <v>225</v>
      </c>
      <c r="G28" s="2">
        <v>12</v>
      </c>
      <c r="H28" s="2">
        <v>125</v>
      </c>
      <c r="I28" s="2">
        <v>36</v>
      </c>
      <c r="J28" s="2">
        <f t="shared" ref="J28:J40" si="36">(E28+40+200)*2</f>
        <v>3730</v>
      </c>
      <c r="K28" s="2">
        <f t="shared" ref="K28:K40" si="37">D28*6</f>
        <v>32283.428131199998</v>
      </c>
      <c r="L28" s="2">
        <v>350</v>
      </c>
      <c r="M28" s="2">
        <f t="shared" si="24"/>
        <v>21522.285420799999</v>
      </c>
      <c r="N28" s="2">
        <f>(H28+I28)*2*8</f>
        <v>2576</v>
      </c>
      <c r="O28" s="2">
        <f t="shared" si="25"/>
        <v>36013.428131199995</v>
      </c>
      <c r="P28" s="2">
        <f t="shared" si="18"/>
        <v>24448.285420799999</v>
      </c>
      <c r="Q28" s="2">
        <f t="shared" si="26"/>
        <v>1417.8515012283463</v>
      </c>
      <c r="R28" s="2">
        <f t="shared" si="26"/>
        <v>962.53092207874022</v>
      </c>
      <c r="S28" s="2">
        <f t="shared" si="27"/>
        <v>2380.3824233070864</v>
      </c>
      <c r="T28" s="3">
        <f t="shared" si="28"/>
        <v>198.36520194225719</v>
      </c>
      <c r="V28" s="8">
        <f t="shared" si="29"/>
        <v>1700</v>
      </c>
      <c r="W28" s="9">
        <f t="shared" si="30"/>
        <v>1417.8515012283463</v>
      </c>
      <c r="X28" s="10">
        <f t="shared" si="31"/>
        <v>118.15429176902886</v>
      </c>
      <c r="Y28" s="9">
        <f t="shared" si="32"/>
        <v>962.53092207874022</v>
      </c>
      <c r="Z28" s="10">
        <f t="shared" si="33"/>
        <v>80.210910173228356</v>
      </c>
      <c r="AA28" s="9">
        <f t="shared" si="34"/>
        <v>2380.3824233070864</v>
      </c>
      <c r="AB28" s="14">
        <f t="shared" si="35"/>
        <v>198.36520194225722</v>
      </c>
      <c r="AC28" s="15">
        <f t="shared" si="17"/>
        <v>61.132270634522165</v>
      </c>
    </row>
    <row r="29" spans="1:29" ht="18.75" x14ac:dyDescent="0.25">
      <c r="B29" s="11">
        <v>1800</v>
      </c>
      <c r="C29" s="1">
        <v>1824</v>
      </c>
      <c r="D29" s="2">
        <f t="shared" si="19"/>
        <v>5694.8570651999999</v>
      </c>
      <c r="E29" s="2">
        <v>1625</v>
      </c>
      <c r="F29" s="2">
        <v>225</v>
      </c>
      <c r="G29" s="2">
        <v>12</v>
      </c>
      <c r="H29" s="2">
        <v>125</v>
      </c>
      <c r="I29" s="2">
        <v>36</v>
      </c>
      <c r="J29" s="2">
        <f t="shared" si="36"/>
        <v>3730</v>
      </c>
      <c r="K29" s="2">
        <f t="shared" si="37"/>
        <v>34169.142391200003</v>
      </c>
      <c r="L29" s="2">
        <v>350</v>
      </c>
      <c r="M29" s="2">
        <f t="shared" si="24"/>
        <v>22779.428260799999</v>
      </c>
      <c r="N29" s="2">
        <f>(H29+I29)*2*8</f>
        <v>2576</v>
      </c>
      <c r="O29" s="2">
        <f t="shared" si="25"/>
        <v>37899.142391200003</v>
      </c>
      <c r="P29" s="2">
        <f t="shared" si="18"/>
        <v>25705.428260799999</v>
      </c>
      <c r="Q29" s="2">
        <f t="shared" si="26"/>
        <v>1492.0922201259843</v>
      </c>
      <c r="R29" s="2">
        <f t="shared" si="26"/>
        <v>1012.0247346771654</v>
      </c>
      <c r="S29" s="2">
        <f t="shared" si="27"/>
        <v>2504.1169548031498</v>
      </c>
      <c r="T29" s="3">
        <f t="shared" si="28"/>
        <v>208.67641290026248</v>
      </c>
      <c r="V29" s="8">
        <f t="shared" si="29"/>
        <v>1800</v>
      </c>
      <c r="W29" s="9">
        <f t="shared" si="30"/>
        <v>1492.0922201259843</v>
      </c>
      <c r="X29" s="10">
        <f t="shared" si="31"/>
        <v>124.34101834383203</v>
      </c>
      <c r="Y29" s="9">
        <f t="shared" si="32"/>
        <v>1012.0247346771654</v>
      </c>
      <c r="Z29" s="10">
        <f t="shared" si="33"/>
        <v>84.335394556430444</v>
      </c>
      <c r="AA29" s="9">
        <f t="shared" si="34"/>
        <v>2504.1169548031498</v>
      </c>
      <c r="AB29" s="14">
        <f t="shared" si="35"/>
        <v>208.67641290026248</v>
      </c>
      <c r="AC29" s="15">
        <f t="shared" si="17"/>
        <v>64.703080835136774</v>
      </c>
    </row>
    <row r="30" spans="1:29" ht="18.75" x14ac:dyDescent="0.25">
      <c r="B30" s="11">
        <v>1900</v>
      </c>
      <c r="C30" s="1">
        <v>1924</v>
      </c>
      <c r="D30" s="2">
        <f t="shared" si="19"/>
        <v>6009.1427752</v>
      </c>
      <c r="E30" s="2">
        <v>1625</v>
      </c>
      <c r="F30" s="2">
        <v>225</v>
      </c>
      <c r="G30" s="2">
        <v>12</v>
      </c>
      <c r="H30" s="2">
        <v>125</v>
      </c>
      <c r="I30" s="2">
        <v>36</v>
      </c>
      <c r="J30" s="2">
        <f t="shared" si="36"/>
        <v>3730</v>
      </c>
      <c r="K30" s="2">
        <f t="shared" si="37"/>
        <v>36054.856651199996</v>
      </c>
      <c r="L30" s="2">
        <v>350</v>
      </c>
      <c r="M30" s="2">
        <f t="shared" si="24"/>
        <v>24036.5711008</v>
      </c>
      <c r="N30" s="2">
        <f>(H30+I30)*2*8</f>
        <v>2576</v>
      </c>
      <c r="O30" s="2">
        <f t="shared" si="25"/>
        <v>39784.856651199996</v>
      </c>
      <c r="P30" s="2">
        <f t="shared" si="18"/>
        <v>26962.5711008</v>
      </c>
      <c r="Q30" s="2">
        <f t="shared" si="26"/>
        <v>1566.332939023622</v>
      </c>
      <c r="R30" s="2">
        <f t="shared" si="26"/>
        <v>1061.5185472755907</v>
      </c>
      <c r="S30" s="2">
        <f t="shared" si="27"/>
        <v>2627.8514862992124</v>
      </c>
      <c r="T30" s="3">
        <f t="shared" si="28"/>
        <v>218.98762385826771</v>
      </c>
      <c r="V30" s="8">
        <f t="shared" si="29"/>
        <v>1900</v>
      </c>
      <c r="W30" s="9">
        <f t="shared" si="30"/>
        <v>1566.332939023622</v>
      </c>
      <c r="X30" s="10">
        <f t="shared" si="31"/>
        <v>130.52774491863516</v>
      </c>
      <c r="Y30" s="9">
        <f t="shared" si="32"/>
        <v>1061.5185472755907</v>
      </c>
      <c r="Z30" s="10">
        <f t="shared" si="33"/>
        <v>88.45987893963256</v>
      </c>
      <c r="AA30" s="9">
        <f t="shared" si="34"/>
        <v>2627.8514862992124</v>
      </c>
      <c r="AB30" s="14">
        <f t="shared" si="35"/>
        <v>218.98762385826774</v>
      </c>
      <c r="AC30" s="15">
        <f t="shared" si="17"/>
        <v>68.273891035751376</v>
      </c>
    </row>
    <row r="31" spans="1:29" ht="18.75" x14ac:dyDescent="0.25">
      <c r="B31" s="11">
        <v>2000</v>
      </c>
      <c r="C31" s="1">
        <v>2024</v>
      </c>
      <c r="D31" s="2">
        <f t="shared" si="19"/>
        <v>6323.4284852000001</v>
      </c>
      <c r="E31" s="2">
        <v>1625</v>
      </c>
      <c r="F31" s="2">
        <v>225</v>
      </c>
      <c r="G31" s="2">
        <v>12</v>
      </c>
      <c r="H31" s="2">
        <v>125</v>
      </c>
      <c r="I31" s="2">
        <v>36</v>
      </c>
      <c r="J31" s="2">
        <f t="shared" si="36"/>
        <v>3730</v>
      </c>
      <c r="K31" s="2">
        <f t="shared" si="37"/>
        <v>37940.570911200004</v>
      </c>
      <c r="L31" s="2">
        <v>350</v>
      </c>
      <c r="M31" s="2">
        <f t="shared" si="24"/>
        <v>25293.7139408</v>
      </c>
      <c r="N31" s="2">
        <f>(H31+I31)*2*8</f>
        <v>2576</v>
      </c>
      <c r="O31" s="2">
        <f t="shared" si="25"/>
        <v>41670.570911200004</v>
      </c>
      <c r="P31" s="2">
        <f t="shared" si="18"/>
        <v>28219.7139408</v>
      </c>
      <c r="Q31" s="2">
        <f t="shared" si="26"/>
        <v>1640.5736579212601</v>
      </c>
      <c r="R31" s="2">
        <f t="shared" si="26"/>
        <v>1111.0123598740158</v>
      </c>
      <c r="S31" s="2">
        <f t="shared" si="27"/>
        <v>2751.5860177952759</v>
      </c>
      <c r="T31" s="3">
        <f t="shared" si="28"/>
        <v>229.298834816273</v>
      </c>
      <c r="V31" s="8">
        <f t="shared" si="29"/>
        <v>2000</v>
      </c>
      <c r="W31" s="9">
        <f t="shared" si="30"/>
        <v>1640.5736579212601</v>
      </c>
      <c r="X31" s="10">
        <f t="shared" si="31"/>
        <v>136.71447149343834</v>
      </c>
      <c r="Y31" s="9">
        <f t="shared" si="32"/>
        <v>1111.0123598740158</v>
      </c>
      <c r="Z31" s="10">
        <f t="shared" si="33"/>
        <v>92.584363322834648</v>
      </c>
      <c r="AA31" s="9">
        <f t="shared" si="34"/>
        <v>2751.5860177952759</v>
      </c>
      <c r="AB31" s="14">
        <f t="shared" si="35"/>
        <v>229.29883481627297</v>
      </c>
      <c r="AC31" s="15">
        <f t="shared" si="17"/>
        <v>71.844701236366006</v>
      </c>
    </row>
    <row r="32" spans="1:29" ht="18.75" x14ac:dyDescent="0.25">
      <c r="B32" s="11">
        <v>2100</v>
      </c>
      <c r="C32" s="1">
        <v>2124</v>
      </c>
      <c r="D32" s="2">
        <f t="shared" si="19"/>
        <v>6637.7141952000002</v>
      </c>
      <c r="E32" s="2">
        <v>1625</v>
      </c>
      <c r="F32" s="2">
        <v>225</v>
      </c>
      <c r="G32" s="2">
        <v>12</v>
      </c>
      <c r="H32" s="2">
        <v>125</v>
      </c>
      <c r="I32" s="2">
        <v>40</v>
      </c>
      <c r="J32" s="2">
        <f t="shared" si="36"/>
        <v>3730</v>
      </c>
      <c r="K32" s="2">
        <f t="shared" si="37"/>
        <v>39826.285171199997</v>
      </c>
      <c r="L32" s="2">
        <v>350</v>
      </c>
      <c r="M32" s="2">
        <f t="shared" si="24"/>
        <v>26550.856780800001</v>
      </c>
      <c r="N32" s="2">
        <f t="shared" ref="N32:N41" si="38">(H32+I32)*2*12</f>
        <v>3960</v>
      </c>
      <c r="O32" s="2">
        <f t="shared" si="25"/>
        <v>43556.285171199997</v>
      </c>
      <c r="P32" s="2">
        <f t="shared" si="18"/>
        <v>30860.856780800001</v>
      </c>
      <c r="Q32" s="2">
        <f t="shared" si="26"/>
        <v>1714.8143768188977</v>
      </c>
      <c r="R32" s="2">
        <f t="shared" si="26"/>
        <v>1214.9943614488191</v>
      </c>
      <c r="S32" s="2">
        <f t="shared" si="27"/>
        <v>2929.8087382677168</v>
      </c>
      <c r="T32" s="3">
        <f t="shared" si="28"/>
        <v>244.15072818897639</v>
      </c>
      <c r="V32" s="8">
        <f t="shared" si="29"/>
        <v>2100</v>
      </c>
      <c r="W32" s="9">
        <f t="shared" si="30"/>
        <v>1714.8143768188977</v>
      </c>
      <c r="X32" s="10">
        <f t="shared" si="31"/>
        <v>142.90119806824148</v>
      </c>
      <c r="Y32" s="9">
        <f t="shared" si="32"/>
        <v>1214.9943614488191</v>
      </c>
      <c r="Z32" s="10">
        <f t="shared" si="33"/>
        <v>101.24953012073492</v>
      </c>
      <c r="AA32" s="9">
        <f t="shared" si="34"/>
        <v>2929.8087382677168</v>
      </c>
      <c r="AB32" s="14">
        <f t="shared" si="35"/>
        <v>244.15072818897642</v>
      </c>
      <c r="AC32" s="15">
        <f>((K32*L32)/92416)/2</f>
        <v>75.415511436980609</v>
      </c>
    </row>
    <row r="33" spans="2:29" ht="18.75" x14ac:dyDescent="0.25">
      <c r="B33" s="11">
        <v>2200</v>
      </c>
      <c r="C33" s="1">
        <v>2232</v>
      </c>
      <c r="D33" s="2">
        <f t="shared" si="19"/>
        <v>6964.5713335999999</v>
      </c>
      <c r="E33" s="2">
        <v>1625</v>
      </c>
      <c r="F33" s="2">
        <v>225</v>
      </c>
      <c r="G33" s="2">
        <v>16</v>
      </c>
      <c r="H33" s="2">
        <v>125</v>
      </c>
      <c r="I33" s="2">
        <v>40</v>
      </c>
      <c r="J33" s="2">
        <f t="shared" si="36"/>
        <v>3730</v>
      </c>
      <c r="K33" s="2">
        <f t="shared" si="37"/>
        <v>41787.428001599998</v>
      </c>
      <c r="L33" s="2">
        <v>350</v>
      </c>
      <c r="M33" s="2">
        <f t="shared" si="24"/>
        <v>27858.2853344</v>
      </c>
      <c r="N33" s="2">
        <f t="shared" si="38"/>
        <v>3960</v>
      </c>
      <c r="O33" s="2">
        <f t="shared" si="25"/>
        <v>45517.428001599998</v>
      </c>
      <c r="P33" s="2">
        <f t="shared" si="18"/>
        <v>32168.2853344</v>
      </c>
      <c r="Q33" s="2">
        <f t="shared" si="26"/>
        <v>1792.024724472441</v>
      </c>
      <c r="R33" s="2">
        <f t="shared" si="26"/>
        <v>1266.4679265511811</v>
      </c>
      <c r="S33" s="2">
        <f t="shared" si="27"/>
        <v>3058.4926510236219</v>
      </c>
      <c r="T33" s="3">
        <f t="shared" si="28"/>
        <v>254.87438758530183</v>
      </c>
      <c r="V33" s="8">
        <f t="shared" si="29"/>
        <v>2200</v>
      </c>
      <c r="W33" s="9">
        <f t="shared" si="30"/>
        <v>1792.024724472441</v>
      </c>
      <c r="X33" s="10">
        <f t="shared" si="31"/>
        <v>149.33539370603674</v>
      </c>
      <c r="Y33" s="9">
        <f t="shared" si="32"/>
        <v>1266.4679265511811</v>
      </c>
      <c r="Z33" s="10">
        <f t="shared" si="33"/>
        <v>105.53899387926509</v>
      </c>
      <c r="AA33" s="9">
        <f t="shared" si="34"/>
        <v>3058.4926510236219</v>
      </c>
      <c r="AB33" s="14">
        <f t="shared" si="35"/>
        <v>254.87438758530183</v>
      </c>
      <c r="AC33" s="15">
        <f t="shared" si="17"/>
        <v>79.129154045619799</v>
      </c>
    </row>
    <row r="34" spans="2:29" ht="18.75" x14ac:dyDescent="0.25">
      <c r="B34" s="11">
        <v>2300</v>
      </c>
      <c r="C34" s="1">
        <v>2332</v>
      </c>
      <c r="D34" s="2">
        <f t="shared" si="19"/>
        <v>7278.8570436</v>
      </c>
      <c r="E34" s="2">
        <v>1625</v>
      </c>
      <c r="F34" s="2">
        <v>225</v>
      </c>
      <c r="G34" s="2">
        <v>16</v>
      </c>
      <c r="H34" s="2">
        <v>125</v>
      </c>
      <c r="I34" s="2">
        <v>40</v>
      </c>
      <c r="J34" s="2">
        <f t="shared" si="36"/>
        <v>3730</v>
      </c>
      <c r="K34" s="2">
        <f t="shared" si="37"/>
        <v>43673.142261599998</v>
      </c>
      <c r="L34" s="2">
        <v>350</v>
      </c>
      <c r="M34" s="2">
        <f t="shared" si="24"/>
        <v>29115.4281744</v>
      </c>
      <c r="N34" s="2">
        <f t="shared" si="38"/>
        <v>3960</v>
      </c>
      <c r="O34" s="2">
        <f t="shared" si="25"/>
        <v>47403.142261599998</v>
      </c>
      <c r="P34" s="2">
        <f t="shared" si="18"/>
        <v>33425.428174400004</v>
      </c>
      <c r="Q34" s="2">
        <f t="shared" si="26"/>
        <v>1866.2654433700789</v>
      </c>
      <c r="R34" s="2">
        <f t="shared" si="26"/>
        <v>1315.9617391496065</v>
      </c>
      <c r="S34" s="2">
        <f t="shared" si="27"/>
        <v>3182.2271825196854</v>
      </c>
      <c r="T34" s="3">
        <f t="shared" si="28"/>
        <v>265.18559854330709</v>
      </c>
      <c r="V34" s="8">
        <f t="shared" si="29"/>
        <v>2300</v>
      </c>
      <c r="W34" s="9">
        <f t="shared" si="30"/>
        <v>1866.2654433700789</v>
      </c>
      <c r="X34" s="10">
        <f t="shared" si="31"/>
        <v>155.52212028083991</v>
      </c>
      <c r="Y34" s="9">
        <f t="shared" si="32"/>
        <v>1315.9617391496065</v>
      </c>
      <c r="Z34" s="10">
        <f t="shared" si="33"/>
        <v>109.66347826246721</v>
      </c>
      <c r="AA34" s="9">
        <f t="shared" si="34"/>
        <v>3182.2271825196854</v>
      </c>
      <c r="AB34" s="14">
        <f t="shared" si="35"/>
        <v>265.18559854330715</v>
      </c>
      <c r="AC34" s="15">
        <f t="shared" si="17"/>
        <v>82.699964246234416</v>
      </c>
    </row>
    <row r="35" spans="2:29" ht="18.75" x14ac:dyDescent="0.25">
      <c r="B35" s="11">
        <v>2400</v>
      </c>
      <c r="C35" s="1">
        <v>2432</v>
      </c>
      <c r="D35" s="2">
        <f t="shared" si="19"/>
        <v>7593.1427536000001</v>
      </c>
      <c r="E35" s="2">
        <v>1625</v>
      </c>
      <c r="F35" s="2">
        <v>225</v>
      </c>
      <c r="G35" s="2">
        <v>16</v>
      </c>
      <c r="H35" s="2">
        <v>125</v>
      </c>
      <c r="I35" s="2">
        <v>40</v>
      </c>
      <c r="J35" s="2">
        <f t="shared" si="36"/>
        <v>3730</v>
      </c>
      <c r="K35" s="2">
        <f t="shared" si="37"/>
        <v>45558.856521599999</v>
      </c>
      <c r="L35" s="2">
        <v>350</v>
      </c>
      <c r="M35" s="2">
        <f t="shared" si="24"/>
        <v>30372.5710144</v>
      </c>
      <c r="N35" s="2">
        <f t="shared" si="38"/>
        <v>3960</v>
      </c>
      <c r="O35" s="2">
        <f t="shared" si="25"/>
        <v>49288.856521599999</v>
      </c>
      <c r="P35" s="2">
        <f t="shared" si="18"/>
        <v>34682.571014400004</v>
      </c>
      <c r="Q35" s="2">
        <f t="shared" si="26"/>
        <v>1940.5061622677165</v>
      </c>
      <c r="R35" s="2">
        <f t="shared" si="26"/>
        <v>1365.4555517480317</v>
      </c>
      <c r="S35" s="2">
        <f t="shared" si="27"/>
        <v>3305.9617140157479</v>
      </c>
      <c r="T35" s="3">
        <f t="shared" si="28"/>
        <v>275.49680950131233</v>
      </c>
      <c r="V35" s="8">
        <f t="shared" si="29"/>
        <v>2400</v>
      </c>
      <c r="W35" s="9">
        <f t="shared" si="30"/>
        <v>1940.5061622677165</v>
      </c>
      <c r="X35" s="10">
        <f t="shared" si="31"/>
        <v>161.70884685564303</v>
      </c>
      <c r="Y35" s="9">
        <f t="shared" si="32"/>
        <v>1365.4555517480317</v>
      </c>
      <c r="Z35" s="10">
        <f t="shared" si="33"/>
        <v>113.78796264566931</v>
      </c>
      <c r="AA35" s="9">
        <f t="shared" si="34"/>
        <v>3305.9617140157479</v>
      </c>
      <c r="AB35" s="14">
        <f t="shared" si="35"/>
        <v>275.49680950131233</v>
      </c>
      <c r="AC35" s="15">
        <f t="shared" si="17"/>
        <v>86.270774446849032</v>
      </c>
    </row>
    <row r="36" spans="2:29" ht="18.75" x14ac:dyDescent="0.25">
      <c r="B36" s="11">
        <v>2500</v>
      </c>
      <c r="C36" s="1">
        <v>2532</v>
      </c>
      <c r="D36" s="2">
        <f t="shared" si="19"/>
        <v>7907.4284636000002</v>
      </c>
      <c r="E36" s="2">
        <v>1625</v>
      </c>
      <c r="F36" s="2">
        <v>225</v>
      </c>
      <c r="G36" s="2">
        <v>16</v>
      </c>
      <c r="H36" s="2">
        <v>125</v>
      </c>
      <c r="I36" s="2">
        <v>40</v>
      </c>
      <c r="J36" s="2">
        <f t="shared" si="36"/>
        <v>3730</v>
      </c>
      <c r="K36" s="2">
        <f t="shared" si="37"/>
        <v>47444.570781599999</v>
      </c>
      <c r="L36" s="2">
        <v>350</v>
      </c>
      <c r="M36" s="2">
        <f t="shared" si="24"/>
        <v>31629.713854400001</v>
      </c>
      <c r="N36" s="2">
        <f t="shared" si="38"/>
        <v>3960</v>
      </c>
      <c r="O36" s="2">
        <f t="shared" si="25"/>
        <v>51174.570781599999</v>
      </c>
      <c r="P36" s="2">
        <f t="shared" si="18"/>
        <v>35939.713854400004</v>
      </c>
      <c r="Q36" s="2">
        <f t="shared" si="26"/>
        <v>2014.7468811653544</v>
      </c>
      <c r="R36" s="2">
        <f t="shared" si="26"/>
        <v>1414.9493643464571</v>
      </c>
      <c r="S36" s="2">
        <f t="shared" si="27"/>
        <v>3429.6962455118114</v>
      </c>
      <c r="T36" s="3">
        <f t="shared" si="28"/>
        <v>285.80802045931762</v>
      </c>
      <c r="V36" s="8">
        <f t="shared" si="29"/>
        <v>2500</v>
      </c>
      <c r="W36" s="9">
        <f t="shared" si="30"/>
        <v>2014.7468811653544</v>
      </c>
      <c r="X36" s="10">
        <f t="shared" si="31"/>
        <v>167.89557343044621</v>
      </c>
      <c r="Y36" s="9">
        <f t="shared" si="32"/>
        <v>1414.9493643464571</v>
      </c>
      <c r="Z36" s="10">
        <f t="shared" si="33"/>
        <v>117.91244702887143</v>
      </c>
      <c r="AA36" s="9">
        <f t="shared" si="34"/>
        <v>3429.6962455118114</v>
      </c>
      <c r="AB36" s="14">
        <f t="shared" si="35"/>
        <v>285.80802045931762</v>
      </c>
      <c r="AC36" s="15">
        <f t="shared" si="17"/>
        <v>89.841584647463648</v>
      </c>
    </row>
    <row r="37" spans="2:29" ht="18.75" x14ac:dyDescent="0.25">
      <c r="B37" s="11">
        <v>2600</v>
      </c>
      <c r="C37" s="1">
        <v>2632</v>
      </c>
      <c r="D37" s="2">
        <f t="shared" si="19"/>
        <v>8221.7141735999994</v>
      </c>
      <c r="E37" s="2">
        <v>1625</v>
      </c>
      <c r="F37" s="2">
        <v>225</v>
      </c>
      <c r="G37" s="2">
        <v>16</v>
      </c>
      <c r="H37" s="2">
        <v>125</v>
      </c>
      <c r="I37" s="2">
        <v>40</v>
      </c>
      <c r="J37" s="2">
        <f t="shared" si="36"/>
        <v>3730</v>
      </c>
      <c r="K37" s="2">
        <f t="shared" si="37"/>
        <v>49330.2850416</v>
      </c>
      <c r="L37" s="2">
        <v>350</v>
      </c>
      <c r="M37" s="2">
        <f t="shared" si="24"/>
        <v>32886.856694399998</v>
      </c>
      <c r="N37" s="2">
        <f t="shared" si="38"/>
        <v>3960</v>
      </c>
      <c r="O37" s="2">
        <f t="shared" si="25"/>
        <v>53060.2850416</v>
      </c>
      <c r="P37" s="2">
        <f t="shared" si="18"/>
        <v>37196.856694399998</v>
      </c>
      <c r="Q37" s="2">
        <f t="shared" si="26"/>
        <v>2088.9876000629924</v>
      </c>
      <c r="R37" s="2">
        <f t="shared" si="26"/>
        <v>1464.4431769448818</v>
      </c>
      <c r="S37" s="2">
        <f t="shared" si="27"/>
        <v>3553.430777007874</v>
      </c>
      <c r="T37" s="3">
        <f t="shared" si="28"/>
        <v>296.11923141732285</v>
      </c>
      <c r="V37" s="8">
        <f t="shared" si="29"/>
        <v>2600</v>
      </c>
      <c r="W37" s="9">
        <f t="shared" si="30"/>
        <v>2088.9876000629924</v>
      </c>
      <c r="X37" s="10">
        <f t="shared" si="31"/>
        <v>174.08230000524938</v>
      </c>
      <c r="Y37" s="9">
        <f t="shared" si="32"/>
        <v>1464.4431769448818</v>
      </c>
      <c r="Z37" s="10">
        <f t="shared" si="33"/>
        <v>122.03693141207349</v>
      </c>
      <c r="AA37" s="9">
        <f t="shared" si="34"/>
        <v>3553.430777007874</v>
      </c>
      <c r="AB37" s="14">
        <f t="shared" si="35"/>
        <v>296.11923141732285</v>
      </c>
      <c r="AC37" s="15">
        <f t="shared" si="17"/>
        <v>93.41239484807825</v>
      </c>
    </row>
    <row r="38" spans="2:29" ht="18.75" x14ac:dyDescent="0.25">
      <c r="B38" s="11">
        <v>2700</v>
      </c>
      <c r="C38" s="1">
        <v>2732</v>
      </c>
      <c r="D38" s="2">
        <f t="shared" si="19"/>
        <v>8535.9998835999995</v>
      </c>
      <c r="E38" s="2">
        <v>1625</v>
      </c>
      <c r="F38" s="2">
        <v>225</v>
      </c>
      <c r="G38" s="2">
        <v>16</v>
      </c>
      <c r="H38" s="2">
        <v>125</v>
      </c>
      <c r="I38" s="2">
        <v>40</v>
      </c>
      <c r="J38" s="2">
        <f t="shared" si="36"/>
        <v>3730</v>
      </c>
      <c r="K38" s="2">
        <f t="shared" si="37"/>
        <v>51215.999301599993</v>
      </c>
      <c r="L38" s="2">
        <v>350</v>
      </c>
      <c r="M38" s="2">
        <f t="shared" si="24"/>
        <v>34143.999534399998</v>
      </c>
      <c r="N38" s="2">
        <f t="shared" si="38"/>
        <v>3960</v>
      </c>
      <c r="O38" s="2">
        <f t="shared" si="25"/>
        <v>54945.999301599993</v>
      </c>
      <c r="P38" s="2">
        <f t="shared" si="18"/>
        <v>38453.999534399998</v>
      </c>
      <c r="Q38" s="2">
        <f t="shared" si="26"/>
        <v>2163.2283189606296</v>
      </c>
      <c r="R38" s="2">
        <f t="shared" si="26"/>
        <v>1513.9369895433072</v>
      </c>
      <c r="S38" s="2">
        <f t="shared" si="27"/>
        <v>3677.165308503937</v>
      </c>
      <c r="T38" s="3">
        <f t="shared" si="28"/>
        <v>306.43044237532808</v>
      </c>
      <c r="V38" s="8">
        <f t="shared" si="29"/>
        <v>2700</v>
      </c>
      <c r="W38" s="9">
        <f t="shared" si="30"/>
        <v>2163.2283189606296</v>
      </c>
      <c r="X38" s="10">
        <f t="shared" si="31"/>
        <v>180.26902658005247</v>
      </c>
      <c r="Y38" s="9">
        <f t="shared" si="32"/>
        <v>1513.9369895433072</v>
      </c>
      <c r="Z38" s="10">
        <f t="shared" si="33"/>
        <v>126.1614157952756</v>
      </c>
      <c r="AA38" s="9">
        <f t="shared" si="34"/>
        <v>3677.165308503937</v>
      </c>
      <c r="AB38" s="14">
        <f t="shared" si="35"/>
        <v>306.43044237532808</v>
      </c>
      <c r="AC38" s="15">
        <f t="shared" si="17"/>
        <v>96.983205048692867</v>
      </c>
    </row>
    <row r="39" spans="2:29" ht="18.75" x14ac:dyDescent="0.25">
      <c r="B39" s="11">
        <v>2800</v>
      </c>
      <c r="C39" s="1">
        <v>2832</v>
      </c>
      <c r="D39" s="2">
        <f t="shared" si="19"/>
        <v>8850.2855935999996</v>
      </c>
      <c r="E39" s="2">
        <v>1625</v>
      </c>
      <c r="F39" s="2">
        <v>225</v>
      </c>
      <c r="G39" s="2">
        <v>16</v>
      </c>
      <c r="H39" s="2">
        <v>125</v>
      </c>
      <c r="I39" s="2">
        <v>40</v>
      </c>
      <c r="J39" s="2">
        <f t="shared" si="36"/>
        <v>3730</v>
      </c>
      <c r="K39" s="2">
        <f t="shared" si="37"/>
        <v>53101.713561600001</v>
      </c>
      <c r="L39" s="2">
        <v>350</v>
      </c>
      <c r="M39" s="2">
        <f t="shared" si="24"/>
        <v>35401.142374399999</v>
      </c>
      <c r="N39" s="2">
        <f t="shared" si="38"/>
        <v>3960</v>
      </c>
      <c r="O39" s="2">
        <f t="shared" si="25"/>
        <v>56831.713561600001</v>
      </c>
      <c r="P39" s="2">
        <f t="shared" si="18"/>
        <v>39711.142374399999</v>
      </c>
      <c r="Q39" s="2">
        <f t="shared" si="26"/>
        <v>2237.4690378582677</v>
      </c>
      <c r="R39" s="2">
        <f t="shared" si="26"/>
        <v>1563.4308021417323</v>
      </c>
      <c r="S39" s="2">
        <f t="shared" si="27"/>
        <v>3800.89984</v>
      </c>
      <c r="T39" s="3">
        <f t="shared" si="28"/>
        <v>316.74165333333332</v>
      </c>
      <c r="V39" s="8">
        <f t="shared" si="29"/>
        <v>2800</v>
      </c>
      <c r="W39" s="9">
        <f t="shared" si="30"/>
        <v>2237.4690378582677</v>
      </c>
      <c r="X39" s="10">
        <f t="shared" si="31"/>
        <v>186.45575315485564</v>
      </c>
      <c r="Y39" s="9">
        <f t="shared" si="32"/>
        <v>1563.4308021417323</v>
      </c>
      <c r="Z39" s="10">
        <f t="shared" si="33"/>
        <v>130.2859001784777</v>
      </c>
      <c r="AA39" s="9">
        <f t="shared" si="34"/>
        <v>3800.89984</v>
      </c>
      <c r="AB39" s="14">
        <f t="shared" si="35"/>
        <v>316.74165333333337</v>
      </c>
      <c r="AC39" s="15">
        <f t="shared" si="17"/>
        <v>100.55401524930748</v>
      </c>
    </row>
    <row r="40" spans="2:29" ht="18.75" x14ac:dyDescent="0.25">
      <c r="B40" s="11">
        <v>2900</v>
      </c>
      <c r="C40" s="1">
        <v>2932</v>
      </c>
      <c r="D40" s="2">
        <f t="shared" si="19"/>
        <v>9164.5713035999997</v>
      </c>
      <c r="E40" s="2">
        <v>1625</v>
      </c>
      <c r="F40" s="2">
        <v>225</v>
      </c>
      <c r="G40" s="2">
        <v>16</v>
      </c>
      <c r="H40" s="2">
        <v>125</v>
      </c>
      <c r="I40" s="2">
        <v>40</v>
      </c>
      <c r="J40" s="2">
        <f t="shared" si="36"/>
        <v>3730</v>
      </c>
      <c r="K40" s="2">
        <f t="shared" si="37"/>
        <v>54987.427821599995</v>
      </c>
      <c r="L40" s="2">
        <v>350</v>
      </c>
      <c r="M40" s="2">
        <f t="shared" si="24"/>
        <v>36658.285214399999</v>
      </c>
      <c r="N40" s="2">
        <f t="shared" si="38"/>
        <v>3960</v>
      </c>
      <c r="O40" s="2">
        <f t="shared" si="25"/>
        <v>58717.427821599995</v>
      </c>
      <c r="P40" s="2">
        <f t="shared" si="18"/>
        <v>40968.285214399999</v>
      </c>
      <c r="Q40" s="2">
        <f t="shared" si="26"/>
        <v>2311.7097567559053</v>
      </c>
      <c r="R40" s="2">
        <f t="shared" si="26"/>
        <v>1612.9246147401575</v>
      </c>
      <c r="S40" s="2">
        <f t="shared" si="27"/>
        <v>3924.6343714960631</v>
      </c>
      <c r="T40" s="3">
        <f t="shared" si="28"/>
        <v>327.05286429133861</v>
      </c>
      <c r="V40" s="8">
        <f t="shared" si="29"/>
        <v>2900</v>
      </c>
      <c r="W40" s="9">
        <f t="shared" si="30"/>
        <v>2311.7097567559053</v>
      </c>
      <c r="X40" s="10">
        <f t="shared" si="31"/>
        <v>192.64247972965879</v>
      </c>
      <c r="Y40" s="9">
        <f t="shared" si="32"/>
        <v>1612.9246147401575</v>
      </c>
      <c r="Z40" s="10">
        <f t="shared" si="33"/>
        <v>134.41038456167979</v>
      </c>
      <c r="AA40" s="9">
        <f t="shared" si="34"/>
        <v>3924.6343714960631</v>
      </c>
      <c r="AB40" s="14">
        <f t="shared" si="35"/>
        <v>327.05286429133855</v>
      </c>
      <c r="AC40" s="15">
        <f t="shared" si="17"/>
        <v>104.12482544992207</v>
      </c>
    </row>
    <row r="41" spans="2:29" ht="18.75" x14ac:dyDescent="0.25">
      <c r="B41" s="11">
        <v>3000</v>
      </c>
      <c r="C41" s="1">
        <v>3032</v>
      </c>
      <c r="D41" s="2">
        <f t="shared" si="19"/>
        <v>9478.8570135999998</v>
      </c>
      <c r="E41" s="2">
        <v>1625</v>
      </c>
      <c r="F41" s="2">
        <v>225</v>
      </c>
      <c r="G41" s="2">
        <v>16</v>
      </c>
      <c r="H41" s="2">
        <v>125</v>
      </c>
      <c r="I41" s="2">
        <v>40</v>
      </c>
      <c r="J41" s="2">
        <f t="shared" ref="J41" si="39">(E41+40+200)*2</f>
        <v>3730</v>
      </c>
      <c r="K41" s="2">
        <f t="shared" ref="K41" si="40">D41*6</f>
        <v>56873.142081600003</v>
      </c>
      <c r="L41" s="2">
        <v>350</v>
      </c>
      <c r="M41" s="2">
        <f>D41*4</f>
        <v>37915.428054399999</v>
      </c>
      <c r="N41" s="2">
        <f t="shared" si="38"/>
        <v>3960</v>
      </c>
      <c r="O41" s="2">
        <f t="shared" si="25"/>
        <v>60603.142081600003</v>
      </c>
      <c r="P41" s="2">
        <f t="shared" si="18"/>
        <v>42225.428054399999</v>
      </c>
      <c r="Q41" s="2">
        <f t="shared" si="26"/>
        <v>2385.9504756535434</v>
      </c>
      <c r="R41" s="2">
        <f t="shared" si="26"/>
        <v>1662.4184273385827</v>
      </c>
      <c r="S41" s="2">
        <f t="shared" si="27"/>
        <v>4048.3689029921261</v>
      </c>
      <c r="T41" s="3">
        <f t="shared" si="28"/>
        <v>337.36407524934384</v>
      </c>
      <c r="V41" s="8">
        <f t="shared" si="29"/>
        <v>3000</v>
      </c>
      <c r="W41" s="9">
        <f t="shared" si="30"/>
        <v>2385.9504756535434</v>
      </c>
      <c r="X41" s="10">
        <f t="shared" si="31"/>
        <v>198.82920630446196</v>
      </c>
      <c r="Y41" s="9">
        <f t="shared" si="32"/>
        <v>1662.4184273385827</v>
      </c>
      <c r="Z41" s="10">
        <f t="shared" si="33"/>
        <v>138.53486894488188</v>
      </c>
      <c r="AA41" s="9">
        <f t="shared" si="34"/>
        <v>4048.3689029921261</v>
      </c>
      <c r="AB41" s="14">
        <f t="shared" si="35"/>
        <v>337.36407524934384</v>
      </c>
      <c r="AC41" s="15">
        <f t="shared" si="17"/>
        <v>107.6956356505367</v>
      </c>
    </row>
  </sheetData>
  <mergeCells count="5">
    <mergeCell ref="J2:K2"/>
    <mergeCell ref="L2:N2"/>
    <mergeCell ref="B1:T1"/>
    <mergeCell ref="V1:AC1"/>
    <mergeCell ref="V2:AC2"/>
  </mergeCells>
  <pageMargins left="0.7" right="0.7" top="0.75" bottom="0.75" header="0.3" footer="0.3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Precise Engineers</cp:lastModifiedBy>
  <cp:lastPrinted>2019-12-08T08:52:09Z</cp:lastPrinted>
  <dcterms:created xsi:type="dcterms:W3CDTF">2019-10-22T03:53:17Z</dcterms:created>
  <dcterms:modified xsi:type="dcterms:W3CDTF">2026-07-27T04:52:01Z</dcterms:modified>
</cp:coreProperties>
</file>